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1F4E79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2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Bike_Model</t>
        </is>
      </c>
      <c r="F1" s="1" t="inlineStr">
        <is>
          <t>Category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Total_Revenue</t>
        </is>
      </c>
      <c r="J1" s="1" t="inlineStr">
        <is>
          <t>Cost_Per_Unit</t>
        </is>
      </c>
      <c r="K1" s="1" t="inlineStr">
        <is>
          <t>Total_Cost</t>
        </is>
      </c>
      <c r="L1" s="1" t="inlineStr">
        <is>
          <t>Profit</t>
        </is>
      </c>
    </row>
    <row r="2">
      <c r="A2" s="2" t="inlineStr">
        <is>
          <t>ORD-1001</t>
        </is>
      </c>
      <c r="B2" s="2" t="inlineStr">
        <is>
          <t>2024-01-08</t>
        </is>
      </c>
      <c r="C2" s="2" t="inlineStr">
        <is>
          <t>East</t>
        </is>
      </c>
      <c r="D2" s="2" t="inlineStr">
        <is>
          <t>Bob Smith</t>
        </is>
      </c>
      <c r="E2" s="2" t="inlineStr">
        <is>
          <t>Mountain Bike Pro</t>
        </is>
      </c>
      <c r="F2" s="2" t="inlineStr">
        <is>
          <t>Mountain</t>
        </is>
      </c>
      <c r="G2" s="2" t="n">
        <v>1</v>
      </c>
      <c r="H2" s="3" t="n">
        <v>850</v>
      </c>
      <c r="I2" s="3">
        <f>G2*H2</f>
        <v/>
      </c>
      <c r="J2" s="3" t="n">
        <v>510</v>
      </c>
      <c r="K2" s="3">
        <f>G2*J2</f>
        <v/>
      </c>
      <c r="L2" s="3">
        <f>I2-K2</f>
        <v/>
      </c>
    </row>
    <row r="3">
      <c r="A3" s="4" t="inlineStr">
        <is>
          <t>ORD-1002</t>
        </is>
      </c>
      <c r="B3" s="4" t="inlineStr">
        <is>
          <t>2024-01-14</t>
        </is>
      </c>
      <c r="C3" s="4" t="inlineStr">
        <is>
          <t>North</t>
        </is>
      </c>
      <c r="D3" s="4" t="inlineStr">
        <is>
          <t>Eve Davis</t>
        </is>
      </c>
      <c r="E3" s="4" t="inlineStr">
        <is>
          <t>Road Racer X</t>
        </is>
      </c>
      <c r="F3" s="4" t="inlineStr">
        <is>
          <t>Road</t>
        </is>
      </c>
      <c r="G3" s="4" t="n">
        <v>2</v>
      </c>
      <c r="H3" s="5" t="n">
        <v>1200</v>
      </c>
      <c r="I3" s="5">
        <f>G3*H3</f>
        <v/>
      </c>
      <c r="J3" s="5" t="n">
        <v>720</v>
      </c>
      <c r="K3" s="5">
        <f>G3*J3</f>
        <v/>
      </c>
      <c r="L3" s="5">
        <f>I3-K3</f>
        <v/>
      </c>
    </row>
    <row r="4">
      <c r="A4" s="2" t="inlineStr">
        <is>
          <t>ORD-1003</t>
        </is>
      </c>
      <c r="B4" s="2" t="inlineStr">
        <is>
          <t>2024-01-08</t>
        </is>
      </c>
      <c r="C4" s="2" t="inlineStr">
        <is>
          <t>North</t>
        </is>
      </c>
      <c r="D4" s="2" t="inlineStr">
        <is>
          <t>Bob Smith</t>
        </is>
      </c>
      <c r="E4" s="2" t="inlineStr">
        <is>
          <t>Mountain Bike Pro</t>
        </is>
      </c>
      <c r="F4" s="2" t="inlineStr">
        <is>
          <t>Mountain</t>
        </is>
      </c>
      <c r="G4" s="2" t="n">
        <v>1</v>
      </c>
      <c r="H4" s="3" t="n">
        <v>850</v>
      </c>
      <c r="I4" s="3">
        <f>G4*H4</f>
        <v/>
      </c>
      <c r="J4" s="3" t="n">
        <v>510</v>
      </c>
      <c r="K4" s="3">
        <f>G4*J4</f>
        <v/>
      </c>
      <c r="L4" s="3">
        <f>I4-K4</f>
        <v/>
      </c>
    </row>
    <row r="5">
      <c r="A5" s="4" t="inlineStr">
        <is>
          <t>ORD-1004</t>
        </is>
      </c>
      <c r="B5" s="4" t="inlineStr">
        <is>
          <t>2024-01-07</t>
        </is>
      </c>
      <c r="C5" s="4" t="inlineStr">
        <is>
          <t>North</t>
        </is>
      </c>
      <c r="D5" s="4" t="inlineStr">
        <is>
          <t>Eve Davis</t>
        </is>
      </c>
      <c r="E5" s="4" t="inlineStr">
        <is>
          <t>Kids Rocket</t>
        </is>
      </c>
      <c r="F5" s="4" t="inlineStr">
        <is>
          <t>Kids</t>
        </is>
      </c>
      <c r="G5" s="4" t="n">
        <v>10</v>
      </c>
      <c r="H5" s="5" t="n">
        <v>180</v>
      </c>
      <c r="I5" s="5">
        <f>G5*H5</f>
        <v/>
      </c>
      <c r="J5" s="5" t="n">
        <v>108</v>
      </c>
      <c r="K5" s="5">
        <f>G5*J5</f>
        <v/>
      </c>
      <c r="L5" s="5">
        <f>I5-K5</f>
        <v/>
      </c>
    </row>
    <row r="6">
      <c r="A6" s="2" t="inlineStr">
        <is>
          <t>ORD-1005</t>
        </is>
      </c>
      <c r="B6" s="2" t="inlineStr">
        <is>
          <t>2024-01-15</t>
        </is>
      </c>
      <c r="C6" s="2" t="inlineStr">
        <is>
          <t>West</t>
        </is>
      </c>
      <c r="D6" s="2" t="inlineStr">
        <is>
          <t>Bob Smith</t>
        </is>
      </c>
      <c r="E6" s="2" t="inlineStr">
        <is>
          <t>BMX Stunt</t>
        </is>
      </c>
      <c r="F6" s="2" t="inlineStr">
        <is>
          <t>BMX</t>
        </is>
      </c>
      <c r="G6" s="2" t="n">
        <v>9</v>
      </c>
      <c r="H6" s="3" t="n">
        <v>320</v>
      </c>
      <c r="I6" s="3">
        <f>G6*H6</f>
        <v/>
      </c>
      <c r="J6" s="3" t="n">
        <v>192</v>
      </c>
      <c r="K6" s="3">
        <f>G6*J6</f>
        <v/>
      </c>
      <c r="L6" s="3">
        <f>I6-K6</f>
        <v/>
      </c>
    </row>
    <row r="7">
      <c r="A7" s="4" t="inlineStr">
        <is>
          <t>ORD-1006</t>
        </is>
      </c>
      <c r="B7" s="4" t="inlineStr">
        <is>
          <t>2024-01-23</t>
        </is>
      </c>
      <c r="C7" s="4" t="inlineStr">
        <is>
          <t>North</t>
        </is>
      </c>
      <c r="D7" s="4" t="inlineStr">
        <is>
          <t>Bob Smith</t>
        </is>
      </c>
      <c r="E7" s="4" t="inlineStr">
        <is>
          <t>Kids Rocket</t>
        </is>
      </c>
      <c r="F7" s="4" t="inlineStr">
        <is>
          <t>Kids</t>
        </is>
      </c>
      <c r="G7" s="4" t="n">
        <v>5</v>
      </c>
      <c r="H7" s="5" t="n">
        <v>180</v>
      </c>
      <c r="I7" s="5">
        <f>G7*H7</f>
        <v/>
      </c>
      <c r="J7" s="5" t="n">
        <v>108</v>
      </c>
      <c r="K7" s="5">
        <f>G7*J7</f>
        <v/>
      </c>
      <c r="L7" s="5">
        <f>I7-K7</f>
        <v/>
      </c>
    </row>
    <row r="8">
      <c r="A8" s="2" t="inlineStr">
        <is>
          <t>ORD-1007</t>
        </is>
      </c>
      <c r="B8" s="2" t="inlineStr">
        <is>
          <t>2024-01-07</t>
        </is>
      </c>
      <c r="C8" s="2" t="inlineStr">
        <is>
          <t>East</t>
        </is>
      </c>
      <c r="D8" s="2" t="inlineStr">
        <is>
          <t>Bob Smith</t>
        </is>
      </c>
      <c r="E8" s="2" t="inlineStr">
        <is>
          <t>Electric eBike</t>
        </is>
      </c>
      <c r="F8" s="2" t="inlineStr">
        <is>
          <t>Electric</t>
        </is>
      </c>
      <c r="G8" s="2" t="n">
        <v>6</v>
      </c>
      <c r="H8" s="3" t="n">
        <v>2200</v>
      </c>
      <c r="I8" s="3">
        <f>G8*H8</f>
        <v/>
      </c>
      <c r="J8" s="3" t="n">
        <v>1320</v>
      </c>
      <c r="K8" s="3">
        <f>G8*J8</f>
        <v/>
      </c>
      <c r="L8" s="3">
        <f>I8-K8</f>
        <v/>
      </c>
    </row>
    <row r="9">
      <c r="A9" s="4" t="inlineStr">
        <is>
          <t>ORD-1008</t>
        </is>
      </c>
      <c r="B9" s="4" t="inlineStr">
        <is>
          <t>2024-01-13</t>
        </is>
      </c>
      <c r="C9" s="4" t="inlineStr">
        <is>
          <t>North</t>
        </is>
      </c>
      <c r="D9" s="4" t="inlineStr">
        <is>
          <t>Alice Johnson</t>
        </is>
      </c>
      <c r="E9" s="4" t="inlineStr">
        <is>
          <t>Hybrid Commuter</t>
        </is>
      </c>
      <c r="F9" s="4" t="inlineStr">
        <is>
          <t>City</t>
        </is>
      </c>
      <c r="G9" s="4" t="n">
        <v>6</v>
      </c>
      <c r="H9" s="5" t="n">
        <v>650</v>
      </c>
      <c r="I9" s="5">
        <f>G9*H9</f>
        <v/>
      </c>
      <c r="J9" s="5" t="n">
        <v>390</v>
      </c>
      <c r="K9" s="5">
        <f>G9*J9</f>
        <v/>
      </c>
      <c r="L9" s="5">
        <f>I9-K9</f>
        <v/>
      </c>
    </row>
    <row r="10">
      <c r="A10" s="2" t="inlineStr">
        <is>
          <t>ORD-1009</t>
        </is>
      </c>
      <c r="B10" s="2" t="inlineStr">
        <is>
          <t>2024-01-09</t>
        </is>
      </c>
      <c r="C10" s="2" t="inlineStr">
        <is>
          <t>East</t>
        </is>
      </c>
      <c r="D10" s="2" t="inlineStr">
        <is>
          <t>Eve Davis</t>
        </is>
      </c>
      <c r="E10" s="2" t="inlineStr">
        <is>
          <t>Mountain Bike Pro</t>
        </is>
      </c>
      <c r="F10" s="2" t="inlineStr">
        <is>
          <t>Mountain</t>
        </is>
      </c>
      <c r="G10" s="2" t="n">
        <v>6</v>
      </c>
      <c r="H10" s="3" t="n">
        <v>850</v>
      </c>
      <c r="I10" s="3">
        <f>G10*H10</f>
        <v/>
      </c>
      <c r="J10" s="3" t="n">
        <v>510</v>
      </c>
      <c r="K10" s="3">
        <f>G10*J10</f>
        <v/>
      </c>
      <c r="L10" s="3">
        <f>I10-K10</f>
        <v/>
      </c>
    </row>
    <row r="11">
      <c r="A11" s="4" t="inlineStr">
        <is>
          <t>ORD-1010</t>
        </is>
      </c>
      <c r="B11" s="4" t="inlineStr">
        <is>
          <t>2024-01-04</t>
        </is>
      </c>
      <c r="C11" s="4" t="inlineStr">
        <is>
          <t>West</t>
        </is>
      </c>
      <c r="D11" s="4" t="inlineStr">
        <is>
          <t>Eve Davis</t>
        </is>
      </c>
      <c r="E11" s="4" t="inlineStr">
        <is>
          <t>Hybrid Commuter</t>
        </is>
      </c>
      <c r="F11" s="4" t="inlineStr">
        <is>
          <t>City</t>
        </is>
      </c>
      <c r="G11" s="4" t="n">
        <v>1</v>
      </c>
      <c r="H11" s="5" t="n">
        <v>650</v>
      </c>
      <c r="I11" s="5">
        <f>G11*H11</f>
        <v/>
      </c>
      <c r="J11" s="5" t="n">
        <v>390</v>
      </c>
      <c r="K11" s="5">
        <f>G11*J11</f>
        <v/>
      </c>
      <c r="L11" s="5">
        <f>I11-K11</f>
        <v/>
      </c>
    </row>
    <row r="12">
      <c r="A12" s="2" t="inlineStr">
        <is>
          <t>ORD-1011</t>
        </is>
      </c>
      <c r="B12" s="2" t="inlineStr">
        <is>
          <t>2024-01-28</t>
        </is>
      </c>
      <c r="C12" s="2" t="inlineStr">
        <is>
          <t>East</t>
        </is>
      </c>
      <c r="D12" s="2" t="inlineStr">
        <is>
          <t>Eve Davis</t>
        </is>
      </c>
      <c r="E12" s="2" t="inlineStr">
        <is>
          <t>Electric eBike</t>
        </is>
      </c>
      <c r="F12" s="2" t="inlineStr">
        <is>
          <t>Electric</t>
        </is>
      </c>
      <c r="G12" s="2" t="n">
        <v>2</v>
      </c>
      <c r="H12" s="3" t="n">
        <v>2200</v>
      </c>
      <c r="I12" s="3">
        <f>G12*H12</f>
        <v/>
      </c>
      <c r="J12" s="3" t="n">
        <v>1320</v>
      </c>
      <c r="K12" s="3">
        <f>G12*J12</f>
        <v/>
      </c>
      <c r="L12" s="3">
        <f>I12-K12</f>
        <v/>
      </c>
    </row>
    <row r="13">
      <c r="A13" s="4" t="inlineStr">
        <is>
          <t>ORD-1012</t>
        </is>
      </c>
      <c r="B13" s="4" t="inlineStr">
        <is>
          <t>2024-01-02</t>
        </is>
      </c>
      <c r="C13" s="4" t="inlineStr">
        <is>
          <t>South</t>
        </is>
      </c>
      <c r="D13" s="4" t="inlineStr">
        <is>
          <t>Alice Johnson</t>
        </is>
      </c>
      <c r="E13" s="4" t="inlineStr">
        <is>
          <t>City Cruiser</t>
        </is>
      </c>
      <c r="F13" s="4" t="inlineStr">
        <is>
          <t>City</t>
        </is>
      </c>
      <c r="G13" s="4" t="n">
        <v>10</v>
      </c>
      <c r="H13" s="5" t="n">
        <v>450</v>
      </c>
      <c r="I13" s="5">
        <f>G13*H13</f>
        <v/>
      </c>
      <c r="J13" s="5" t="n">
        <v>270</v>
      </c>
      <c r="K13" s="5">
        <f>G13*J13</f>
        <v/>
      </c>
      <c r="L13" s="5">
        <f>I13-K13</f>
        <v/>
      </c>
    </row>
    <row r="14">
      <c r="A14" s="2" t="inlineStr">
        <is>
          <t>ORD-1013</t>
        </is>
      </c>
      <c r="B14" s="2" t="inlineStr">
        <is>
          <t>2024-01-28</t>
        </is>
      </c>
      <c r="C14" s="2" t="inlineStr">
        <is>
          <t>East</t>
        </is>
      </c>
      <c r="D14" s="2" t="inlineStr">
        <is>
          <t>Alice Johnson</t>
        </is>
      </c>
      <c r="E14" s="2" t="inlineStr">
        <is>
          <t>BMX Stunt</t>
        </is>
      </c>
      <c r="F14" s="2" t="inlineStr">
        <is>
          <t>BMX</t>
        </is>
      </c>
      <c r="G14" s="2" t="n">
        <v>4</v>
      </c>
      <c r="H14" s="3" t="n">
        <v>320</v>
      </c>
      <c r="I14" s="3">
        <f>G14*H14</f>
        <v/>
      </c>
      <c r="J14" s="3" t="n">
        <v>192</v>
      </c>
      <c r="K14" s="3">
        <f>G14*J14</f>
        <v/>
      </c>
      <c r="L14" s="3">
        <f>I14-K14</f>
        <v/>
      </c>
    </row>
    <row r="15">
      <c r="A15" s="4" t="inlineStr">
        <is>
          <t>ORD-1014</t>
        </is>
      </c>
      <c r="B15" s="4" t="inlineStr">
        <is>
          <t>2024-01-15</t>
        </is>
      </c>
      <c r="C15" s="4" t="inlineStr">
        <is>
          <t>West</t>
        </is>
      </c>
      <c r="D15" s="4" t="inlineStr">
        <is>
          <t>Carol White</t>
        </is>
      </c>
      <c r="E15" s="4" t="inlineStr">
        <is>
          <t>Road Racer X</t>
        </is>
      </c>
      <c r="F15" s="4" t="inlineStr">
        <is>
          <t>Road</t>
        </is>
      </c>
      <c r="G15" s="4" t="n">
        <v>2</v>
      </c>
      <c r="H15" s="5" t="n">
        <v>1200</v>
      </c>
      <c r="I15" s="5">
        <f>G15*H15</f>
        <v/>
      </c>
      <c r="J15" s="5" t="n">
        <v>720</v>
      </c>
      <c r="K15" s="5">
        <f>G15*J15</f>
        <v/>
      </c>
      <c r="L15" s="5">
        <f>I15-K15</f>
        <v/>
      </c>
    </row>
    <row r="16">
      <c r="A16" s="2" t="inlineStr">
        <is>
          <t>ORD-1015</t>
        </is>
      </c>
      <c r="B16" s="2" t="inlineStr">
        <is>
          <t>2024-01-12</t>
        </is>
      </c>
      <c r="C16" s="2" t="inlineStr">
        <is>
          <t>South</t>
        </is>
      </c>
      <c r="D16" s="2" t="inlineStr">
        <is>
          <t>Carol White</t>
        </is>
      </c>
      <c r="E16" s="2" t="inlineStr">
        <is>
          <t>BMX Stunt</t>
        </is>
      </c>
      <c r="F16" s="2" t="inlineStr">
        <is>
          <t>BMX</t>
        </is>
      </c>
      <c r="G16" s="2" t="n">
        <v>6</v>
      </c>
      <c r="H16" s="3" t="n">
        <v>320</v>
      </c>
      <c r="I16" s="3">
        <f>G16*H16</f>
        <v/>
      </c>
      <c r="J16" s="3" t="n">
        <v>192</v>
      </c>
      <c r="K16" s="3">
        <f>G16*J16</f>
        <v/>
      </c>
      <c r="L16" s="3">
        <f>I16-K16</f>
        <v/>
      </c>
    </row>
    <row r="17">
      <c r="A17" s="4" t="inlineStr">
        <is>
          <t>ORD-1016</t>
        </is>
      </c>
      <c r="B17" s="4" t="inlineStr">
        <is>
          <t>2024-01-21</t>
        </is>
      </c>
      <c r="C17" s="4" t="inlineStr">
        <is>
          <t>North</t>
        </is>
      </c>
      <c r="D17" s="4" t="inlineStr">
        <is>
          <t>Eve Davis</t>
        </is>
      </c>
      <c r="E17" s="4" t="inlineStr">
        <is>
          <t>Road Racer X</t>
        </is>
      </c>
      <c r="F17" s="4" t="inlineStr">
        <is>
          <t>Road</t>
        </is>
      </c>
      <c r="G17" s="4" t="n">
        <v>5</v>
      </c>
      <c r="H17" s="5" t="n">
        <v>1200</v>
      </c>
      <c r="I17" s="5">
        <f>G17*H17</f>
        <v/>
      </c>
      <c r="J17" s="5" t="n">
        <v>720</v>
      </c>
      <c r="K17" s="5">
        <f>G17*J17</f>
        <v/>
      </c>
      <c r="L17" s="5">
        <f>I17-K17</f>
        <v/>
      </c>
    </row>
    <row r="18">
      <c r="A18" s="2" t="inlineStr">
        <is>
          <t>ORD-1017</t>
        </is>
      </c>
      <c r="B18" s="2" t="inlineStr">
        <is>
          <t>2024-01-15</t>
        </is>
      </c>
      <c r="C18" s="2" t="inlineStr">
        <is>
          <t>South</t>
        </is>
      </c>
      <c r="D18" s="2" t="inlineStr">
        <is>
          <t>Bob Smith</t>
        </is>
      </c>
      <c r="E18" s="2" t="inlineStr">
        <is>
          <t>Road Racer X</t>
        </is>
      </c>
      <c r="F18" s="2" t="inlineStr">
        <is>
          <t>Road</t>
        </is>
      </c>
      <c r="G18" s="2" t="n">
        <v>9</v>
      </c>
      <c r="H18" s="3" t="n">
        <v>1200</v>
      </c>
      <c r="I18" s="3">
        <f>G18*H18</f>
        <v/>
      </c>
      <c r="J18" s="3" t="n">
        <v>720</v>
      </c>
      <c r="K18" s="3">
        <f>G18*J18</f>
        <v/>
      </c>
      <c r="L18" s="3">
        <f>I18-K18</f>
        <v/>
      </c>
    </row>
    <row r="19">
      <c r="A19" s="4" t="inlineStr">
        <is>
          <t>ORD-1018</t>
        </is>
      </c>
      <c r="B19" s="4" t="inlineStr">
        <is>
          <t>2024-01-27</t>
        </is>
      </c>
      <c r="C19" s="4" t="inlineStr">
        <is>
          <t>South</t>
        </is>
      </c>
      <c r="D19" s="4" t="inlineStr">
        <is>
          <t>Carol White</t>
        </is>
      </c>
      <c r="E19" s="4" t="inlineStr">
        <is>
          <t>Electric eBike</t>
        </is>
      </c>
      <c r="F19" s="4" t="inlineStr">
        <is>
          <t>Electric</t>
        </is>
      </c>
      <c r="G19" s="4" t="n">
        <v>5</v>
      </c>
      <c r="H19" s="5" t="n">
        <v>2200</v>
      </c>
      <c r="I19" s="5">
        <f>G19*H19</f>
        <v/>
      </c>
      <c r="J19" s="5" t="n">
        <v>1320</v>
      </c>
      <c r="K19" s="5">
        <f>G19*J19</f>
        <v/>
      </c>
      <c r="L19" s="5">
        <f>I19-K19</f>
        <v/>
      </c>
    </row>
    <row r="20">
      <c r="A20" s="2" t="inlineStr">
        <is>
          <t>ORD-1019</t>
        </is>
      </c>
      <c r="B20" s="2" t="inlineStr">
        <is>
          <t>2024-01-26</t>
        </is>
      </c>
      <c r="C20" s="2" t="inlineStr">
        <is>
          <t>South</t>
        </is>
      </c>
      <c r="D20" s="2" t="inlineStr">
        <is>
          <t>Alice Johnson</t>
        </is>
      </c>
      <c r="E20" s="2" t="inlineStr">
        <is>
          <t>Hybrid Commuter</t>
        </is>
      </c>
      <c r="F20" s="2" t="inlineStr">
        <is>
          <t>City</t>
        </is>
      </c>
      <c r="G20" s="2" t="n">
        <v>1</v>
      </c>
      <c r="H20" s="3" t="n">
        <v>650</v>
      </c>
      <c r="I20" s="3">
        <f>G20*H20</f>
        <v/>
      </c>
      <c r="J20" s="3" t="n">
        <v>390</v>
      </c>
      <c r="K20" s="3">
        <f>G20*J20</f>
        <v/>
      </c>
      <c r="L20" s="3">
        <f>I20-K20</f>
        <v/>
      </c>
    </row>
    <row r="21">
      <c r="A21" s="4" t="inlineStr">
        <is>
          <t>ORD-1020</t>
        </is>
      </c>
      <c r="B21" s="4" t="inlineStr">
        <is>
          <t>2024-01-07</t>
        </is>
      </c>
      <c r="C21" s="4" t="inlineStr">
        <is>
          <t>East</t>
        </is>
      </c>
      <c r="D21" s="4" t="inlineStr">
        <is>
          <t>Alice Johnson</t>
        </is>
      </c>
      <c r="E21" s="4" t="inlineStr">
        <is>
          <t>City Cruiser</t>
        </is>
      </c>
      <c r="F21" s="4" t="inlineStr">
        <is>
          <t>City</t>
        </is>
      </c>
      <c r="G21" s="4" t="n">
        <v>7</v>
      </c>
      <c r="H21" s="5" t="n">
        <v>450</v>
      </c>
      <c r="I21" s="5">
        <f>G21*H21</f>
        <v/>
      </c>
      <c r="J21" s="5" t="n">
        <v>270</v>
      </c>
      <c r="K21" s="5">
        <f>G21*J21</f>
        <v/>
      </c>
      <c r="L21" s="5">
        <f>I21-K21</f>
        <v/>
      </c>
    </row>
    <row r="22">
      <c r="A22" s="2" t="inlineStr">
        <is>
          <t>ORD-1021</t>
        </is>
      </c>
      <c r="B22" s="2" t="inlineStr">
        <is>
          <t>2024-01-13</t>
        </is>
      </c>
      <c r="C22" s="2" t="inlineStr">
        <is>
          <t>South</t>
        </is>
      </c>
      <c r="D22" s="2" t="inlineStr">
        <is>
          <t>David Brown</t>
        </is>
      </c>
      <c r="E22" s="2" t="inlineStr">
        <is>
          <t>Kids Rocket</t>
        </is>
      </c>
      <c r="F22" s="2" t="inlineStr">
        <is>
          <t>Kids</t>
        </is>
      </c>
      <c r="G22" s="2" t="n">
        <v>6</v>
      </c>
      <c r="H22" s="3" t="n">
        <v>180</v>
      </c>
      <c r="I22" s="3">
        <f>G22*H22</f>
        <v/>
      </c>
      <c r="J22" s="3" t="n">
        <v>108</v>
      </c>
      <c r="K22" s="3">
        <f>G22*J22</f>
        <v/>
      </c>
      <c r="L22" s="3">
        <f>I22-K22</f>
        <v/>
      </c>
    </row>
    <row r="23">
      <c r="A23" s="4" t="inlineStr">
        <is>
          <t>ORD-1022</t>
        </is>
      </c>
      <c r="B23" s="4" t="inlineStr">
        <is>
          <t>2024-01-05</t>
        </is>
      </c>
      <c r="C23" s="4" t="inlineStr">
        <is>
          <t>South</t>
        </is>
      </c>
      <c r="D23" s="4" t="inlineStr">
        <is>
          <t>Carol White</t>
        </is>
      </c>
      <c r="E23" s="4" t="inlineStr">
        <is>
          <t>BMX Stunt</t>
        </is>
      </c>
      <c r="F23" s="4" t="inlineStr">
        <is>
          <t>BMX</t>
        </is>
      </c>
      <c r="G23" s="4" t="n">
        <v>8</v>
      </c>
      <c r="H23" s="5" t="n">
        <v>320</v>
      </c>
      <c r="I23" s="5">
        <f>G23*H23</f>
        <v/>
      </c>
      <c r="J23" s="5" t="n">
        <v>192</v>
      </c>
      <c r="K23" s="5">
        <f>G23*J23</f>
        <v/>
      </c>
      <c r="L23" s="5">
        <f>I23-K23</f>
        <v/>
      </c>
    </row>
    <row r="24">
      <c r="A24" s="2" t="inlineStr">
        <is>
          <t>ORD-1023</t>
        </is>
      </c>
      <c r="B24" s="2" t="inlineStr">
        <is>
          <t>2024-01-14</t>
        </is>
      </c>
      <c r="C24" s="2" t="inlineStr">
        <is>
          <t>East</t>
        </is>
      </c>
      <c r="D24" s="2" t="inlineStr">
        <is>
          <t>Eve Davis</t>
        </is>
      </c>
      <c r="E24" s="2" t="inlineStr">
        <is>
          <t>Road Racer X</t>
        </is>
      </c>
      <c r="F24" s="2" t="inlineStr">
        <is>
          <t>Road</t>
        </is>
      </c>
      <c r="G24" s="2" t="n">
        <v>9</v>
      </c>
      <c r="H24" s="3" t="n">
        <v>1200</v>
      </c>
      <c r="I24" s="3">
        <f>G24*H24</f>
        <v/>
      </c>
      <c r="J24" s="3" t="n">
        <v>720</v>
      </c>
      <c r="K24" s="3">
        <f>G24*J24</f>
        <v/>
      </c>
      <c r="L24" s="3">
        <f>I24-K24</f>
        <v/>
      </c>
    </row>
    <row r="25">
      <c r="A25" s="4" t="inlineStr">
        <is>
          <t>ORD-1024</t>
        </is>
      </c>
      <c r="B25" s="4" t="inlineStr">
        <is>
          <t>2024-01-05</t>
        </is>
      </c>
      <c r="C25" s="4" t="inlineStr">
        <is>
          <t>East</t>
        </is>
      </c>
      <c r="D25" s="4" t="inlineStr">
        <is>
          <t>Bob Smith</t>
        </is>
      </c>
      <c r="E25" s="4" t="inlineStr">
        <is>
          <t>Kids Rocket</t>
        </is>
      </c>
      <c r="F25" s="4" t="inlineStr">
        <is>
          <t>Kids</t>
        </is>
      </c>
      <c r="G25" s="4" t="n">
        <v>7</v>
      </c>
      <c r="H25" s="5" t="n">
        <v>180</v>
      </c>
      <c r="I25" s="5">
        <f>G25*H25</f>
        <v/>
      </c>
      <c r="J25" s="5" t="n">
        <v>108</v>
      </c>
      <c r="K25" s="5">
        <f>G25*J25</f>
        <v/>
      </c>
      <c r="L25" s="5">
        <f>I25-K25</f>
        <v/>
      </c>
    </row>
    <row r="26">
      <c r="A26" s="2" t="inlineStr">
        <is>
          <t>ORD-1025</t>
        </is>
      </c>
      <c r="B26" s="2" t="inlineStr">
        <is>
          <t>2024-01-28</t>
        </is>
      </c>
      <c r="C26" s="2" t="inlineStr">
        <is>
          <t>North</t>
        </is>
      </c>
      <c r="D26" s="2" t="inlineStr">
        <is>
          <t>Alice Johnson</t>
        </is>
      </c>
      <c r="E26" s="2" t="inlineStr">
        <is>
          <t>Kids Rocket</t>
        </is>
      </c>
      <c r="F26" s="2" t="inlineStr">
        <is>
          <t>Kids</t>
        </is>
      </c>
      <c r="G26" s="2" t="n">
        <v>8</v>
      </c>
      <c r="H26" s="3" t="n">
        <v>180</v>
      </c>
      <c r="I26" s="3">
        <f>G26*H26</f>
        <v/>
      </c>
      <c r="J26" s="3" t="n">
        <v>108</v>
      </c>
      <c r="K26" s="3">
        <f>G26*J26</f>
        <v/>
      </c>
      <c r="L26" s="3">
        <f>I26-K26</f>
        <v/>
      </c>
    </row>
    <row r="27">
      <c r="A27" s="4" t="inlineStr">
        <is>
          <t>ORD-1026</t>
        </is>
      </c>
      <c r="B27" s="4" t="inlineStr">
        <is>
          <t>2024-02-03</t>
        </is>
      </c>
      <c r="C27" s="4" t="inlineStr">
        <is>
          <t>West</t>
        </is>
      </c>
      <c r="D27" s="4" t="inlineStr">
        <is>
          <t>Eve Davis</t>
        </is>
      </c>
      <c r="E27" s="4" t="inlineStr">
        <is>
          <t>Road Racer X</t>
        </is>
      </c>
      <c r="F27" s="4" t="inlineStr">
        <is>
          <t>Road</t>
        </is>
      </c>
      <c r="G27" s="4" t="n">
        <v>3</v>
      </c>
      <c r="H27" s="5" t="n">
        <v>1200</v>
      </c>
      <c r="I27" s="5">
        <f>G27*H27</f>
        <v/>
      </c>
      <c r="J27" s="5" t="n">
        <v>720</v>
      </c>
      <c r="K27" s="5">
        <f>G27*J27</f>
        <v/>
      </c>
      <c r="L27" s="5">
        <f>I27-K27</f>
        <v/>
      </c>
    </row>
    <row r="28">
      <c r="A28" s="2" t="inlineStr">
        <is>
          <t>ORD-1027</t>
        </is>
      </c>
      <c r="B28" s="2" t="inlineStr">
        <is>
          <t>2024-02-09</t>
        </is>
      </c>
      <c r="C28" s="2" t="inlineStr">
        <is>
          <t>West</t>
        </is>
      </c>
      <c r="D28" s="2" t="inlineStr">
        <is>
          <t>Eve Davis</t>
        </is>
      </c>
      <c r="E28" s="2" t="inlineStr">
        <is>
          <t>Electric eBike</t>
        </is>
      </c>
      <c r="F28" s="2" t="inlineStr">
        <is>
          <t>Electric</t>
        </is>
      </c>
      <c r="G28" s="2" t="n">
        <v>7</v>
      </c>
      <c r="H28" s="3" t="n">
        <v>2200</v>
      </c>
      <c r="I28" s="3">
        <f>G28*H28</f>
        <v/>
      </c>
      <c r="J28" s="3" t="n">
        <v>1320</v>
      </c>
      <c r="K28" s="3">
        <f>G28*J28</f>
        <v/>
      </c>
      <c r="L28" s="3">
        <f>I28-K28</f>
        <v/>
      </c>
    </row>
    <row r="29">
      <c r="A29" s="4" t="inlineStr">
        <is>
          <t>ORD-1028</t>
        </is>
      </c>
      <c r="B29" s="4" t="inlineStr">
        <is>
          <t>2024-02-25</t>
        </is>
      </c>
      <c r="C29" s="4" t="inlineStr">
        <is>
          <t>North</t>
        </is>
      </c>
      <c r="D29" s="4" t="inlineStr">
        <is>
          <t>Eve Davis</t>
        </is>
      </c>
      <c r="E29" s="4" t="inlineStr">
        <is>
          <t>Kids Rocket</t>
        </is>
      </c>
      <c r="F29" s="4" t="inlineStr">
        <is>
          <t>Kids</t>
        </is>
      </c>
      <c r="G29" s="4" t="n">
        <v>1</v>
      </c>
      <c r="H29" s="5" t="n">
        <v>180</v>
      </c>
      <c r="I29" s="5">
        <f>G29*H29</f>
        <v/>
      </c>
      <c r="J29" s="5" t="n">
        <v>108</v>
      </c>
      <c r="K29" s="5">
        <f>G29*J29</f>
        <v/>
      </c>
      <c r="L29" s="5">
        <f>I29-K29</f>
        <v/>
      </c>
    </row>
    <row r="30">
      <c r="A30" s="2" t="inlineStr">
        <is>
          <t>ORD-1029</t>
        </is>
      </c>
      <c r="B30" s="2" t="inlineStr">
        <is>
          <t>2024-02-14</t>
        </is>
      </c>
      <c r="C30" s="2" t="inlineStr">
        <is>
          <t>North</t>
        </is>
      </c>
      <c r="D30" s="2" t="inlineStr">
        <is>
          <t>Carol White</t>
        </is>
      </c>
      <c r="E30" s="2" t="inlineStr">
        <is>
          <t>City Cruiser</t>
        </is>
      </c>
      <c r="F30" s="2" t="inlineStr">
        <is>
          <t>City</t>
        </is>
      </c>
      <c r="G30" s="2" t="n">
        <v>6</v>
      </c>
      <c r="H30" s="3" t="n">
        <v>450</v>
      </c>
      <c r="I30" s="3">
        <f>G30*H30</f>
        <v/>
      </c>
      <c r="J30" s="3" t="n">
        <v>270</v>
      </c>
      <c r="K30" s="3">
        <f>G30*J30</f>
        <v/>
      </c>
      <c r="L30" s="3">
        <f>I30-K30</f>
        <v/>
      </c>
    </row>
    <row r="31">
      <c r="A31" s="4" t="inlineStr">
        <is>
          <t>ORD-1030</t>
        </is>
      </c>
      <c r="B31" s="4" t="inlineStr">
        <is>
          <t>2024-02-17</t>
        </is>
      </c>
      <c r="C31" s="4" t="inlineStr">
        <is>
          <t>North</t>
        </is>
      </c>
      <c r="D31" s="4" t="inlineStr">
        <is>
          <t>Carol White</t>
        </is>
      </c>
      <c r="E31" s="4" t="inlineStr">
        <is>
          <t>Road Racer X</t>
        </is>
      </c>
      <c r="F31" s="4" t="inlineStr">
        <is>
          <t>Road</t>
        </is>
      </c>
      <c r="G31" s="4" t="n">
        <v>8</v>
      </c>
      <c r="H31" s="5" t="n">
        <v>1200</v>
      </c>
      <c r="I31" s="5">
        <f>G31*H31</f>
        <v/>
      </c>
      <c r="J31" s="5" t="n">
        <v>720</v>
      </c>
      <c r="K31" s="5">
        <f>G31*J31</f>
        <v/>
      </c>
      <c r="L31" s="5">
        <f>I31-K31</f>
        <v/>
      </c>
    </row>
    <row r="32">
      <c r="A32" s="2" t="inlineStr">
        <is>
          <t>ORD-1031</t>
        </is>
      </c>
      <c r="B32" s="2" t="inlineStr">
        <is>
          <t>2024-02-27</t>
        </is>
      </c>
      <c r="C32" s="2" t="inlineStr">
        <is>
          <t>North</t>
        </is>
      </c>
      <c r="D32" s="2" t="inlineStr">
        <is>
          <t>Carol White</t>
        </is>
      </c>
      <c r="E32" s="2" t="inlineStr">
        <is>
          <t>Hybrid Commuter</t>
        </is>
      </c>
      <c r="F32" s="2" t="inlineStr">
        <is>
          <t>City</t>
        </is>
      </c>
      <c r="G32" s="2" t="n">
        <v>3</v>
      </c>
      <c r="H32" s="3" t="n">
        <v>650</v>
      </c>
      <c r="I32" s="3">
        <f>G32*H32</f>
        <v/>
      </c>
      <c r="J32" s="3" t="n">
        <v>390</v>
      </c>
      <c r="K32" s="3">
        <f>G32*J32</f>
        <v/>
      </c>
      <c r="L32" s="3">
        <f>I32-K32</f>
        <v/>
      </c>
    </row>
    <row r="33">
      <c r="A33" s="4" t="inlineStr">
        <is>
          <t>ORD-1032</t>
        </is>
      </c>
      <c r="B33" s="4" t="inlineStr">
        <is>
          <t>2024-02-12</t>
        </is>
      </c>
      <c r="C33" s="4" t="inlineStr">
        <is>
          <t>South</t>
        </is>
      </c>
      <c r="D33" s="4" t="inlineStr">
        <is>
          <t>Bob Smith</t>
        </is>
      </c>
      <c r="E33" s="4" t="inlineStr">
        <is>
          <t>BMX Stunt</t>
        </is>
      </c>
      <c r="F33" s="4" t="inlineStr">
        <is>
          <t>BMX</t>
        </is>
      </c>
      <c r="G33" s="4" t="n">
        <v>9</v>
      </c>
      <c r="H33" s="5" t="n">
        <v>320</v>
      </c>
      <c r="I33" s="5">
        <f>G33*H33</f>
        <v/>
      </c>
      <c r="J33" s="5" t="n">
        <v>192</v>
      </c>
      <c r="K33" s="5">
        <f>G33*J33</f>
        <v/>
      </c>
      <c r="L33" s="5">
        <f>I33-K33</f>
        <v/>
      </c>
    </row>
    <row r="34">
      <c r="A34" s="2" t="inlineStr">
        <is>
          <t>ORD-1033</t>
        </is>
      </c>
      <c r="B34" s="2" t="inlineStr">
        <is>
          <t>2024-02-11</t>
        </is>
      </c>
      <c r="C34" s="2" t="inlineStr">
        <is>
          <t>North</t>
        </is>
      </c>
      <c r="D34" s="2" t="inlineStr">
        <is>
          <t>Eve Davis</t>
        </is>
      </c>
      <c r="E34" s="2" t="inlineStr">
        <is>
          <t>Hybrid Commuter</t>
        </is>
      </c>
      <c r="F34" s="2" t="inlineStr">
        <is>
          <t>City</t>
        </is>
      </c>
      <c r="G34" s="2" t="n">
        <v>3</v>
      </c>
      <c r="H34" s="3" t="n">
        <v>650</v>
      </c>
      <c r="I34" s="3">
        <f>G34*H34</f>
        <v/>
      </c>
      <c r="J34" s="3" t="n">
        <v>390</v>
      </c>
      <c r="K34" s="3">
        <f>G34*J34</f>
        <v/>
      </c>
      <c r="L34" s="3">
        <f>I34-K34</f>
        <v/>
      </c>
    </row>
    <row r="35">
      <c r="A35" s="4" t="inlineStr">
        <is>
          <t>ORD-1034</t>
        </is>
      </c>
      <c r="B35" s="4" t="inlineStr">
        <is>
          <t>2024-02-27</t>
        </is>
      </c>
      <c r="C35" s="4" t="inlineStr">
        <is>
          <t>North</t>
        </is>
      </c>
      <c r="D35" s="4" t="inlineStr">
        <is>
          <t>Carol White</t>
        </is>
      </c>
      <c r="E35" s="4" t="inlineStr">
        <is>
          <t>Electric eBike</t>
        </is>
      </c>
      <c r="F35" s="4" t="inlineStr">
        <is>
          <t>Electric</t>
        </is>
      </c>
      <c r="G35" s="4" t="n">
        <v>1</v>
      </c>
      <c r="H35" s="5" t="n">
        <v>2200</v>
      </c>
      <c r="I35" s="5">
        <f>G35*H35</f>
        <v/>
      </c>
      <c r="J35" s="5" t="n">
        <v>1320</v>
      </c>
      <c r="K35" s="5">
        <f>G35*J35</f>
        <v/>
      </c>
      <c r="L35" s="5">
        <f>I35-K35</f>
        <v/>
      </c>
    </row>
    <row r="36">
      <c r="A36" s="2" t="inlineStr">
        <is>
          <t>ORD-1035</t>
        </is>
      </c>
      <c r="B36" s="2" t="inlineStr">
        <is>
          <t>2024-02-08</t>
        </is>
      </c>
      <c r="C36" s="2" t="inlineStr">
        <is>
          <t>South</t>
        </is>
      </c>
      <c r="D36" s="2" t="inlineStr">
        <is>
          <t>Alice Johnson</t>
        </is>
      </c>
      <c r="E36" s="2" t="inlineStr">
        <is>
          <t>Hybrid Commuter</t>
        </is>
      </c>
      <c r="F36" s="2" t="inlineStr">
        <is>
          <t>City</t>
        </is>
      </c>
      <c r="G36" s="2" t="n">
        <v>5</v>
      </c>
      <c r="H36" s="3" t="n">
        <v>650</v>
      </c>
      <c r="I36" s="3">
        <f>G36*H36</f>
        <v/>
      </c>
      <c r="J36" s="3" t="n">
        <v>390</v>
      </c>
      <c r="K36" s="3">
        <f>G36*J36</f>
        <v/>
      </c>
      <c r="L36" s="3">
        <f>I36-K36</f>
        <v/>
      </c>
    </row>
    <row r="37">
      <c r="A37" s="4" t="inlineStr">
        <is>
          <t>ORD-1036</t>
        </is>
      </c>
      <c r="B37" s="4" t="inlineStr">
        <is>
          <t>2024-02-27</t>
        </is>
      </c>
      <c r="C37" s="4" t="inlineStr">
        <is>
          <t>North</t>
        </is>
      </c>
      <c r="D37" s="4" t="inlineStr">
        <is>
          <t>David Brown</t>
        </is>
      </c>
      <c r="E37" s="4" t="inlineStr">
        <is>
          <t>Kids Rocket</t>
        </is>
      </c>
      <c r="F37" s="4" t="inlineStr">
        <is>
          <t>Kids</t>
        </is>
      </c>
      <c r="G37" s="4" t="n">
        <v>2</v>
      </c>
      <c r="H37" s="5" t="n">
        <v>180</v>
      </c>
      <c r="I37" s="5">
        <f>G37*H37</f>
        <v/>
      </c>
      <c r="J37" s="5" t="n">
        <v>108</v>
      </c>
      <c r="K37" s="5">
        <f>G37*J37</f>
        <v/>
      </c>
      <c r="L37" s="5">
        <f>I37-K37</f>
        <v/>
      </c>
    </row>
    <row r="38">
      <c r="A38" s="2" t="inlineStr">
        <is>
          <t>ORD-1037</t>
        </is>
      </c>
      <c r="B38" s="2" t="inlineStr">
        <is>
          <t>2024-02-22</t>
        </is>
      </c>
      <c r="C38" s="2" t="inlineStr">
        <is>
          <t>South</t>
        </is>
      </c>
      <c r="D38" s="2" t="inlineStr">
        <is>
          <t>Bob Smith</t>
        </is>
      </c>
      <c r="E38" s="2" t="inlineStr">
        <is>
          <t>Mountain Bike Pro</t>
        </is>
      </c>
      <c r="F38" s="2" t="inlineStr">
        <is>
          <t>Mountain</t>
        </is>
      </c>
      <c r="G38" s="2" t="n">
        <v>9</v>
      </c>
      <c r="H38" s="3" t="n">
        <v>850</v>
      </c>
      <c r="I38" s="3">
        <f>G38*H38</f>
        <v/>
      </c>
      <c r="J38" s="3" t="n">
        <v>510</v>
      </c>
      <c r="K38" s="3">
        <f>G38*J38</f>
        <v/>
      </c>
      <c r="L38" s="3">
        <f>I38-K38</f>
        <v/>
      </c>
    </row>
    <row r="39">
      <c r="A39" s="4" t="inlineStr">
        <is>
          <t>ORD-1038</t>
        </is>
      </c>
      <c r="B39" s="4" t="inlineStr">
        <is>
          <t>2024-02-17</t>
        </is>
      </c>
      <c r="C39" s="4" t="inlineStr">
        <is>
          <t>South</t>
        </is>
      </c>
      <c r="D39" s="4" t="inlineStr">
        <is>
          <t>Carol White</t>
        </is>
      </c>
      <c r="E39" s="4" t="inlineStr">
        <is>
          <t>Electric eBike</t>
        </is>
      </c>
      <c r="F39" s="4" t="inlineStr">
        <is>
          <t>Electric</t>
        </is>
      </c>
      <c r="G39" s="4" t="n">
        <v>9</v>
      </c>
      <c r="H39" s="5" t="n">
        <v>2200</v>
      </c>
      <c r="I39" s="5">
        <f>G39*H39</f>
        <v/>
      </c>
      <c r="J39" s="5" t="n">
        <v>1320</v>
      </c>
      <c r="K39" s="5">
        <f>G39*J39</f>
        <v/>
      </c>
      <c r="L39" s="5">
        <f>I39-K39</f>
        <v/>
      </c>
    </row>
    <row r="40">
      <c r="A40" s="2" t="inlineStr">
        <is>
          <t>ORD-1039</t>
        </is>
      </c>
      <c r="B40" s="2" t="inlineStr">
        <is>
          <t>2024-02-18</t>
        </is>
      </c>
      <c r="C40" s="2" t="inlineStr">
        <is>
          <t>West</t>
        </is>
      </c>
      <c r="D40" s="2" t="inlineStr">
        <is>
          <t>Bob Smith</t>
        </is>
      </c>
      <c r="E40" s="2" t="inlineStr">
        <is>
          <t>Hybrid Commuter</t>
        </is>
      </c>
      <c r="F40" s="2" t="inlineStr">
        <is>
          <t>City</t>
        </is>
      </c>
      <c r="G40" s="2" t="n">
        <v>10</v>
      </c>
      <c r="H40" s="3" t="n">
        <v>650</v>
      </c>
      <c r="I40" s="3">
        <f>G40*H40</f>
        <v/>
      </c>
      <c r="J40" s="3" t="n">
        <v>390</v>
      </c>
      <c r="K40" s="3">
        <f>G40*J40</f>
        <v/>
      </c>
      <c r="L40" s="3">
        <f>I40-K40</f>
        <v/>
      </c>
    </row>
    <row r="41">
      <c r="A41" s="4" t="inlineStr">
        <is>
          <t>ORD-1040</t>
        </is>
      </c>
      <c r="B41" s="4" t="inlineStr">
        <is>
          <t>2024-02-22</t>
        </is>
      </c>
      <c r="C41" s="4" t="inlineStr">
        <is>
          <t>East</t>
        </is>
      </c>
      <c r="D41" s="4" t="inlineStr">
        <is>
          <t>David Brown</t>
        </is>
      </c>
      <c r="E41" s="4" t="inlineStr">
        <is>
          <t>Hybrid Commuter</t>
        </is>
      </c>
      <c r="F41" s="4" t="inlineStr">
        <is>
          <t>City</t>
        </is>
      </c>
      <c r="G41" s="4" t="n">
        <v>4</v>
      </c>
      <c r="H41" s="5" t="n">
        <v>650</v>
      </c>
      <c r="I41" s="5">
        <f>G41*H41</f>
        <v/>
      </c>
      <c r="J41" s="5" t="n">
        <v>390</v>
      </c>
      <c r="K41" s="5">
        <f>G41*J41</f>
        <v/>
      </c>
      <c r="L41" s="5">
        <f>I41-K41</f>
        <v/>
      </c>
    </row>
    <row r="42">
      <c r="A42" s="2" t="inlineStr">
        <is>
          <t>ORD-1041</t>
        </is>
      </c>
      <c r="B42" s="2" t="inlineStr">
        <is>
          <t>2024-02-15</t>
        </is>
      </c>
      <c r="C42" s="2" t="inlineStr">
        <is>
          <t>West</t>
        </is>
      </c>
      <c r="D42" s="2" t="inlineStr">
        <is>
          <t>Eve Davis</t>
        </is>
      </c>
      <c r="E42" s="2" t="inlineStr">
        <is>
          <t>BMX Stunt</t>
        </is>
      </c>
      <c r="F42" s="2" t="inlineStr">
        <is>
          <t>BMX</t>
        </is>
      </c>
      <c r="G42" s="2" t="n">
        <v>6</v>
      </c>
      <c r="H42" s="3" t="n">
        <v>320</v>
      </c>
      <c r="I42" s="3">
        <f>G42*H42</f>
        <v/>
      </c>
      <c r="J42" s="3" t="n">
        <v>192</v>
      </c>
      <c r="K42" s="3">
        <f>G42*J42</f>
        <v/>
      </c>
      <c r="L42" s="3">
        <f>I42-K42</f>
        <v/>
      </c>
    </row>
    <row r="43">
      <c r="A43" s="4" t="inlineStr">
        <is>
          <t>ORD-1042</t>
        </is>
      </c>
      <c r="B43" s="4" t="inlineStr">
        <is>
          <t>2024-03-01</t>
        </is>
      </c>
      <c r="C43" s="4" t="inlineStr">
        <is>
          <t>North</t>
        </is>
      </c>
      <c r="D43" s="4" t="inlineStr">
        <is>
          <t>Carol White</t>
        </is>
      </c>
      <c r="E43" s="4" t="inlineStr">
        <is>
          <t>Road Racer X</t>
        </is>
      </c>
      <c r="F43" s="4" t="inlineStr">
        <is>
          <t>Road</t>
        </is>
      </c>
      <c r="G43" s="4" t="n">
        <v>4</v>
      </c>
      <c r="H43" s="5" t="n">
        <v>1200</v>
      </c>
      <c r="I43" s="5">
        <f>G43*H43</f>
        <v/>
      </c>
      <c r="J43" s="5" t="n">
        <v>720</v>
      </c>
      <c r="K43" s="5">
        <f>G43*J43</f>
        <v/>
      </c>
      <c r="L43" s="5">
        <f>I43-K43</f>
        <v/>
      </c>
    </row>
    <row r="44">
      <c r="A44" s="2" t="inlineStr">
        <is>
          <t>ORD-1043</t>
        </is>
      </c>
      <c r="B44" s="2" t="inlineStr">
        <is>
          <t>2024-03-08</t>
        </is>
      </c>
      <c r="C44" s="2" t="inlineStr">
        <is>
          <t>South</t>
        </is>
      </c>
      <c r="D44" s="2" t="inlineStr">
        <is>
          <t>Eve Davis</t>
        </is>
      </c>
      <c r="E44" s="2" t="inlineStr">
        <is>
          <t>Kids Rocket</t>
        </is>
      </c>
      <c r="F44" s="2" t="inlineStr">
        <is>
          <t>Kids</t>
        </is>
      </c>
      <c r="G44" s="2" t="n">
        <v>9</v>
      </c>
      <c r="H44" s="3" t="n">
        <v>180</v>
      </c>
      <c r="I44" s="3">
        <f>G44*H44</f>
        <v/>
      </c>
      <c r="J44" s="3" t="n">
        <v>108</v>
      </c>
      <c r="K44" s="3">
        <f>G44*J44</f>
        <v/>
      </c>
      <c r="L44" s="3">
        <f>I44-K44</f>
        <v/>
      </c>
    </row>
    <row r="45">
      <c r="A45" s="4" t="inlineStr">
        <is>
          <t>ORD-1044</t>
        </is>
      </c>
      <c r="B45" s="4" t="inlineStr">
        <is>
          <t>2024-03-03</t>
        </is>
      </c>
      <c r="C45" s="4" t="inlineStr">
        <is>
          <t>North</t>
        </is>
      </c>
      <c r="D45" s="4" t="inlineStr">
        <is>
          <t>Bob Smith</t>
        </is>
      </c>
      <c r="E45" s="4" t="inlineStr">
        <is>
          <t>Mountain Bike Pro</t>
        </is>
      </c>
      <c r="F45" s="4" t="inlineStr">
        <is>
          <t>Mountain</t>
        </is>
      </c>
      <c r="G45" s="4" t="n">
        <v>2</v>
      </c>
      <c r="H45" s="5" t="n">
        <v>850</v>
      </c>
      <c r="I45" s="5">
        <f>G45*H45</f>
        <v/>
      </c>
      <c r="J45" s="5" t="n">
        <v>510</v>
      </c>
      <c r="K45" s="5">
        <f>G45*J45</f>
        <v/>
      </c>
      <c r="L45" s="5">
        <f>I45-K45</f>
        <v/>
      </c>
    </row>
    <row r="46">
      <c r="A46" s="2" t="inlineStr">
        <is>
          <t>ORD-1045</t>
        </is>
      </c>
      <c r="B46" s="2" t="inlineStr">
        <is>
          <t>2024-03-08</t>
        </is>
      </c>
      <c r="C46" s="2" t="inlineStr">
        <is>
          <t>North</t>
        </is>
      </c>
      <c r="D46" s="2" t="inlineStr">
        <is>
          <t>Eve Davis</t>
        </is>
      </c>
      <c r="E46" s="2" t="inlineStr">
        <is>
          <t>Mountain Bike Pro</t>
        </is>
      </c>
      <c r="F46" s="2" t="inlineStr">
        <is>
          <t>Mountain</t>
        </is>
      </c>
      <c r="G46" s="2" t="n">
        <v>6</v>
      </c>
      <c r="H46" s="3" t="n">
        <v>850</v>
      </c>
      <c r="I46" s="3">
        <f>G46*H46</f>
        <v/>
      </c>
      <c r="J46" s="3" t="n">
        <v>510</v>
      </c>
      <c r="K46" s="3">
        <f>G46*J46</f>
        <v/>
      </c>
      <c r="L46" s="3">
        <f>I46-K46</f>
        <v/>
      </c>
    </row>
    <row r="47">
      <c r="A47" s="4" t="inlineStr">
        <is>
          <t>ORD-1046</t>
        </is>
      </c>
      <c r="B47" s="4" t="inlineStr">
        <is>
          <t>2024-03-05</t>
        </is>
      </c>
      <c r="C47" s="4" t="inlineStr">
        <is>
          <t>South</t>
        </is>
      </c>
      <c r="D47" s="4" t="inlineStr">
        <is>
          <t>Eve Davis</t>
        </is>
      </c>
      <c r="E47" s="4" t="inlineStr">
        <is>
          <t>City Cruiser</t>
        </is>
      </c>
      <c r="F47" s="4" t="inlineStr">
        <is>
          <t>City</t>
        </is>
      </c>
      <c r="G47" s="4" t="n">
        <v>8</v>
      </c>
      <c r="H47" s="5" t="n">
        <v>450</v>
      </c>
      <c r="I47" s="5">
        <f>G47*H47</f>
        <v/>
      </c>
      <c r="J47" s="5" t="n">
        <v>270</v>
      </c>
      <c r="K47" s="5">
        <f>G47*J47</f>
        <v/>
      </c>
      <c r="L47" s="5">
        <f>I47-K47</f>
        <v/>
      </c>
    </row>
    <row r="48">
      <c r="A48" s="2" t="inlineStr">
        <is>
          <t>ORD-1047</t>
        </is>
      </c>
      <c r="B48" s="2" t="inlineStr">
        <is>
          <t>2024-03-26</t>
        </is>
      </c>
      <c r="C48" s="2" t="inlineStr">
        <is>
          <t>West</t>
        </is>
      </c>
      <c r="D48" s="2" t="inlineStr">
        <is>
          <t>Bob Smith</t>
        </is>
      </c>
      <c r="E48" s="2" t="inlineStr">
        <is>
          <t>BMX Stunt</t>
        </is>
      </c>
      <c r="F48" s="2" t="inlineStr">
        <is>
          <t>BMX</t>
        </is>
      </c>
      <c r="G48" s="2" t="n">
        <v>10</v>
      </c>
      <c r="H48" s="3" t="n">
        <v>320</v>
      </c>
      <c r="I48" s="3">
        <f>G48*H48</f>
        <v/>
      </c>
      <c r="J48" s="3" t="n">
        <v>192</v>
      </c>
      <c r="K48" s="3">
        <f>G48*J48</f>
        <v/>
      </c>
      <c r="L48" s="3">
        <f>I48-K48</f>
        <v/>
      </c>
    </row>
    <row r="49">
      <c r="A49" s="4" t="inlineStr">
        <is>
          <t>ORD-1048</t>
        </is>
      </c>
      <c r="B49" s="4" t="inlineStr">
        <is>
          <t>2024-03-04</t>
        </is>
      </c>
      <c r="C49" s="4" t="inlineStr">
        <is>
          <t>South</t>
        </is>
      </c>
      <c r="D49" s="4" t="inlineStr">
        <is>
          <t>Alice Johnson</t>
        </is>
      </c>
      <c r="E49" s="4" t="inlineStr">
        <is>
          <t>Electric eBike</t>
        </is>
      </c>
      <c r="F49" s="4" t="inlineStr">
        <is>
          <t>Electric</t>
        </is>
      </c>
      <c r="G49" s="4" t="n">
        <v>7</v>
      </c>
      <c r="H49" s="5" t="n">
        <v>2200</v>
      </c>
      <c r="I49" s="5">
        <f>G49*H49</f>
        <v/>
      </c>
      <c r="J49" s="5" t="n">
        <v>1320</v>
      </c>
      <c r="K49" s="5">
        <f>G49*J49</f>
        <v/>
      </c>
      <c r="L49" s="5">
        <f>I49-K49</f>
        <v/>
      </c>
    </row>
    <row r="50">
      <c r="A50" s="2" t="inlineStr">
        <is>
          <t>ORD-1049</t>
        </is>
      </c>
      <c r="B50" s="2" t="inlineStr">
        <is>
          <t>2024-03-14</t>
        </is>
      </c>
      <c r="C50" s="2" t="inlineStr">
        <is>
          <t>East</t>
        </is>
      </c>
      <c r="D50" s="2" t="inlineStr">
        <is>
          <t>David Brown</t>
        </is>
      </c>
      <c r="E50" s="2" t="inlineStr">
        <is>
          <t>BMX Stunt</t>
        </is>
      </c>
      <c r="F50" s="2" t="inlineStr">
        <is>
          <t>BMX</t>
        </is>
      </c>
      <c r="G50" s="2" t="n">
        <v>7</v>
      </c>
      <c r="H50" s="3" t="n">
        <v>320</v>
      </c>
      <c r="I50" s="3">
        <f>G50*H50</f>
        <v/>
      </c>
      <c r="J50" s="3" t="n">
        <v>192</v>
      </c>
      <c r="K50" s="3">
        <f>G50*J50</f>
        <v/>
      </c>
      <c r="L50" s="3">
        <f>I50-K50</f>
        <v/>
      </c>
    </row>
    <row r="51">
      <c r="A51" s="4" t="inlineStr">
        <is>
          <t>ORD-1050</t>
        </is>
      </c>
      <c r="B51" s="4" t="inlineStr">
        <is>
          <t>2024-03-13</t>
        </is>
      </c>
      <c r="C51" s="4" t="inlineStr">
        <is>
          <t>North</t>
        </is>
      </c>
      <c r="D51" s="4" t="inlineStr">
        <is>
          <t>Alice Johnson</t>
        </is>
      </c>
      <c r="E51" s="4" t="inlineStr">
        <is>
          <t>Electric eBike</t>
        </is>
      </c>
      <c r="F51" s="4" t="inlineStr">
        <is>
          <t>Electric</t>
        </is>
      </c>
      <c r="G51" s="4" t="n">
        <v>1</v>
      </c>
      <c r="H51" s="5" t="n">
        <v>2200</v>
      </c>
      <c r="I51" s="5">
        <f>G51*H51</f>
        <v/>
      </c>
      <c r="J51" s="5" t="n">
        <v>1320</v>
      </c>
      <c r="K51" s="5">
        <f>G51*J51</f>
        <v/>
      </c>
      <c r="L51" s="5">
        <f>I51-K51</f>
        <v/>
      </c>
    </row>
    <row r="52">
      <c r="A52" s="2" t="inlineStr">
        <is>
          <t>ORD-1051</t>
        </is>
      </c>
      <c r="B52" s="2" t="inlineStr">
        <is>
          <t>2024-03-07</t>
        </is>
      </c>
      <c r="C52" s="2" t="inlineStr">
        <is>
          <t>North</t>
        </is>
      </c>
      <c r="D52" s="2" t="inlineStr">
        <is>
          <t>Bob Smith</t>
        </is>
      </c>
      <c r="E52" s="2" t="inlineStr">
        <is>
          <t>BMX Stunt</t>
        </is>
      </c>
      <c r="F52" s="2" t="inlineStr">
        <is>
          <t>BMX</t>
        </is>
      </c>
      <c r="G52" s="2" t="n">
        <v>6</v>
      </c>
      <c r="H52" s="3" t="n">
        <v>320</v>
      </c>
      <c r="I52" s="3">
        <f>G52*H52</f>
        <v/>
      </c>
      <c r="J52" s="3" t="n">
        <v>192</v>
      </c>
      <c r="K52" s="3">
        <f>G52*J52</f>
        <v/>
      </c>
      <c r="L52" s="3">
        <f>I52-K52</f>
        <v/>
      </c>
    </row>
    <row r="53">
      <c r="A53" s="4" t="inlineStr">
        <is>
          <t>ORD-1052</t>
        </is>
      </c>
      <c r="B53" s="4" t="inlineStr">
        <is>
          <t>2024-03-14</t>
        </is>
      </c>
      <c r="C53" s="4" t="inlineStr">
        <is>
          <t>West</t>
        </is>
      </c>
      <c r="D53" s="4" t="inlineStr">
        <is>
          <t>Bob Smith</t>
        </is>
      </c>
      <c r="E53" s="4" t="inlineStr">
        <is>
          <t>Road Racer X</t>
        </is>
      </c>
      <c r="F53" s="4" t="inlineStr">
        <is>
          <t>Road</t>
        </is>
      </c>
      <c r="G53" s="4" t="n">
        <v>9</v>
      </c>
      <c r="H53" s="5" t="n">
        <v>1200</v>
      </c>
      <c r="I53" s="5">
        <f>G53*H53</f>
        <v/>
      </c>
      <c r="J53" s="5" t="n">
        <v>720</v>
      </c>
      <c r="K53" s="5">
        <f>G53*J53</f>
        <v/>
      </c>
      <c r="L53" s="5">
        <f>I53-K53</f>
        <v/>
      </c>
    </row>
    <row r="54">
      <c r="A54" s="2" t="inlineStr">
        <is>
          <t>ORD-1053</t>
        </is>
      </c>
      <c r="B54" s="2" t="inlineStr">
        <is>
          <t>2024-03-28</t>
        </is>
      </c>
      <c r="C54" s="2" t="inlineStr">
        <is>
          <t>West</t>
        </is>
      </c>
      <c r="D54" s="2" t="inlineStr">
        <is>
          <t>Bob Smith</t>
        </is>
      </c>
      <c r="E54" s="2" t="inlineStr">
        <is>
          <t>Road Racer X</t>
        </is>
      </c>
      <c r="F54" s="2" t="inlineStr">
        <is>
          <t>Road</t>
        </is>
      </c>
      <c r="G54" s="2" t="n">
        <v>5</v>
      </c>
      <c r="H54" s="3" t="n">
        <v>1200</v>
      </c>
      <c r="I54" s="3">
        <f>G54*H54</f>
        <v/>
      </c>
      <c r="J54" s="3" t="n">
        <v>720</v>
      </c>
      <c r="K54" s="3">
        <f>G54*J54</f>
        <v/>
      </c>
      <c r="L54" s="3">
        <f>I54-K54</f>
        <v/>
      </c>
    </row>
    <row r="55">
      <c r="A55" s="4" t="inlineStr">
        <is>
          <t>ORD-1054</t>
        </is>
      </c>
      <c r="B55" s="4" t="inlineStr">
        <is>
          <t>2024-03-21</t>
        </is>
      </c>
      <c r="C55" s="4" t="inlineStr">
        <is>
          <t>North</t>
        </is>
      </c>
      <c r="D55" s="4" t="inlineStr">
        <is>
          <t>Alice Johnson</t>
        </is>
      </c>
      <c r="E55" s="4" t="inlineStr">
        <is>
          <t>Mountain Bike Pro</t>
        </is>
      </c>
      <c r="F55" s="4" t="inlineStr">
        <is>
          <t>Mountain</t>
        </is>
      </c>
      <c r="G55" s="4" t="n">
        <v>8</v>
      </c>
      <c r="H55" s="5" t="n">
        <v>850</v>
      </c>
      <c r="I55" s="5">
        <f>G55*H55</f>
        <v/>
      </c>
      <c r="J55" s="5" t="n">
        <v>510</v>
      </c>
      <c r="K55" s="5">
        <f>G55*J55</f>
        <v/>
      </c>
      <c r="L55" s="5">
        <f>I55-K55</f>
        <v/>
      </c>
    </row>
    <row r="56">
      <c r="A56" s="2" t="inlineStr">
        <is>
          <t>ORD-1055</t>
        </is>
      </c>
      <c r="B56" s="2" t="inlineStr">
        <is>
          <t>2024-03-06</t>
        </is>
      </c>
      <c r="C56" s="2" t="inlineStr">
        <is>
          <t>North</t>
        </is>
      </c>
      <c r="D56" s="2" t="inlineStr">
        <is>
          <t>Bob Smith</t>
        </is>
      </c>
      <c r="E56" s="2" t="inlineStr">
        <is>
          <t>Kids Rocket</t>
        </is>
      </c>
      <c r="F56" s="2" t="inlineStr">
        <is>
          <t>Kids</t>
        </is>
      </c>
      <c r="G56" s="2" t="n">
        <v>1</v>
      </c>
      <c r="H56" s="3" t="n">
        <v>180</v>
      </c>
      <c r="I56" s="3">
        <f>G56*H56</f>
        <v/>
      </c>
      <c r="J56" s="3" t="n">
        <v>108</v>
      </c>
      <c r="K56" s="3">
        <f>G56*J56</f>
        <v/>
      </c>
      <c r="L56" s="3">
        <f>I56-K56</f>
        <v/>
      </c>
    </row>
    <row r="57">
      <c r="A57" s="4" t="inlineStr">
        <is>
          <t>ORD-1056</t>
        </is>
      </c>
      <c r="B57" s="4" t="inlineStr">
        <is>
          <t>2024-03-28</t>
        </is>
      </c>
      <c r="C57" s="4" t="inlineStr">
        <is>
          <t>West</t>
        </is>
      </c>
      <c r="D57" s="4" t="inlineStr">
        <is>
          <t>Bob Smith</t>
        </is>
      </c>
      <c r="E57" s="4" t="inlineStr">
        <is>
          <t>Electric eBike</t>
        </is>
      </c>
      <c r="F57" s="4" t="inlineStr">
        <is>
          <t>Electric</t>
        </is>
      </c>
      <c r="G57" s="4" t="n">
        <v>8</v>
      </c>
      <c r="H57" s="5" t="n">
        <v>2200</v>
      </c>
      <c r="I57" s="5">
        <f>G57*H57</f>
        <v/>
      </c>
      <c r="J57" s="5" t="n">
        <v>1320</v>
      </c>
      <c r="K57" s="5">
        <f>G57*J57</f>
        <v/>
      </c>
      <c r="L57" s="5">
        <f>I57-K57</f>
        <v/>
      </c>
    </row>
    <row r="58">
      <c r="A58" s="2" t="inlineStr">
        <is>
          <t>ORD-1057</t>
        </is>
      </c>
      <c r="B58" s="2" t="inlineStr">
        <is>
          <t>2024-03-01</t>
        </is>
      </c>
      <c r="C58" s="2" t="inlineStr">
        <is>
          <t>South</t>
        </is>
      </c>
      <c r="D58" s="2" t="inlineStr">
        <is>
          <t>David Brown</t>
        </is>
      </c>
      <c r="E58" s="2" t="inlineStr">
        <is>
          <t>Electric eBike</t>
        </is>
      </c>
      <c r="F58" s="2" t="inlineStr">
        <is>
          <t>Electric</t>
        </is>
      </c>
      <c r="G58" s="2" t="n">
        <v>1</v>
      </c>
      <c r="H58" s="3" t="n">
        <v>2200</v>
      </c>
      <c r="I58" s="3">
        <f>G58*H58</f>
        <v/>
      </c>
      <c r="J58" s="3" t="n">
        <v>1320</v>
      </c>
      <c r="K58" s="3">
        <f>G58*J58</f>
        <v/>
      </c>
      <c r="L58" s="3">
        <f>I58-K58</f>
        <v/>
      </c>
    </row>
    <row r="59">
      <c r="A59" s="4" t="inlineStr">
        <is>
          <t>ORD-1058</t>
        </is>
      </c>
      <c r="B59" s="4" t="inlineStr">
        <is>
          <t>2024-04-23</t>
        </is>
      </c>
      <c r="C59" s="4" t="inlineStr">
        <is>
          <t>East</t>
        </is>
      </c>
      <c r="D59" s="4" t="inlineStr">
        <is>
          <t>David Brown</t>
        </is>
      </c>
      <c r="E59" s="4" t="inlineStr">
        <is>
          <t>City Cruiser</t>
        </is>
      </c>
      <c r="F59" s="4" t="inlineStr">
        <is>
          <t>City</t>
        </is>
      </c>
      <c r="G59" s="4" t="n">
        <v>8</v>
      </c>
      <c r="H59" s="5" t="n">
        <v>450</v>
      </c>
      <c r="I59" s="5">
        <f>G59*H59</f>
        <v/>
      </c>
      <c r="J59" s="5" t="n">
        <v>270</v>
      </c>
      <c r="K59" s="5">
        <f>G59*J59</f>
        <v/>
      </c>
      <c r="L59" s="5">
        <f>I59-K59</f>
        <v/>
      </c>
    </row>
    <row r="60">
      <c r="A60" s="2" t="inlineStr">
        <is>
          <t>ORD-1059</t>
        </is>
      </c>
      <c r="B60" s="2" t="inlineStr">
        <is>
          <t>2024-04-07</t>
        </is>
      </c>
      <c r="C60" s="2" t="inlineStr">
        <is>
          <t>West</t>
        </is>
      </c>
      <c r="D60" s="2" t="inlineStr">
        <is>
          <t>Bob Smith</t>
        </is>
      </c>
      <c r="E60" s="2" t="inlineStr">
        <is>
          <t>BMX Stunt</t>
        </is>
      </c>
      <c r="F60" s="2" t="inlineStr">
        <is>
          <t>BMX</t>
        </is>
      </c>
      <c r="G60" s="2" t="n">
        <v>9</v>
      </c>
      <c r="H60" s="3" t="n">
        <v>320</v>
      </c>
      <c r="I60" s="3">
        <f>G60*H60</f>
        <v/>
      </c>
      <c r="J60" s="3" t="n">
        <v>192</v>
      </c>
      <c r="K60" s="3">
        <f>G60*J60</f>
        <v/>
      </c>
      <c r="L60" s="3">
        <f>I60-K60</f>
        <v/>
      </c>
    </row>
    <row r="61">
      <c r="A61" s="4" t="inlineStr">
        <is>
          <t>ORD-1060</t>
        </is>
      </c>
      <c r="B61" s="4" t="inlineStr">
        <is>
          <t>2024-04-24</t>
        </is>
      </c>
      <c r="C61" s="4" t="inlineStr">
        <is>
          <t>North</t>
        </is>
      </c>
      <c r="D61" s="4" t="inlineStr">
        <is>
          <t>Eve Davis</t>
        </is>
      </c>
      <c r="E61" s="4" t="inlineStr">
        <is>
          <t>City Cruiser</t>
        </is>
      </c>
      <c r="F61" s="4" t="inlineStr">
        <is>
          <t>City</t>
        </is>
      </c>
      <c r="G61" s="4" t="n">
        <v>4</v>
      </c>
      <c r="H61" s="5" t="n">
        <v>450</v>
      </c>
      <c r="I61" s="5">
        <f>G61*H61</f>
        <v/>
      </c>
      <c r="J61" s="5" t="n">
        <v>270</v>
      </c>
      <c r="K61" s="5">
        <f>G61*J61</f>
        <v/>
      </c>
      <c r="L61" s="5">
        <f>I61-K61</f>
        <v/>
      </c>
    </row>
    <row r="62">
      <c r="A62" s="2" t="inlineStr">
        <is>
          <t>ORD-1061</t>
        </is>
      </c>
      <c r="B62" s="2" t="inlineStr">
        <is>
          <t>2024-04-02</t>
        </is>
      </c>
      <c r="C62" s="2" t="inlineStr">
        <is>
          <t>East</t>
        </is>
      </c>
      <c r="D62" s="2" t="inlineStr">
        <is>
          <t>Alice Johnson</t>
        </is>
      </c>
      <c r="E62" s="2" t="inlineStr">
        <is>
          <t>Kids Rocket</t>
        </is>
      </c>
      <c r="F62" s="2" t="inlineStr">
        <is>
          <t>Kids</t>
        </is>
      </c>
      <c r="G62" s="2" t="n">
        <v>1</v>
      </c>
      <c r="H62" s="3" t="n">
        <v>180</v>
      </c>
      <c r="I62" s="3">
        <f>G62*H62</f>
        <v/>
      </c>
      <c r="J62" s="3" t="n">
        <v>108</v>
      </c>
      <c r="K62" s="3">
        <f>G62*J62</f>
        <v/>
      </c>
      <c r="L62" s="3">
        <f>I62-K62</f>
        <v/>
      </c>
    </row>
    <row r="63">
      <c r="A63" s="4" t="inlineStr">
        <is>
          <t>ORD-1062</t>
        </is>
      </c>
      <c r="B63" s="4" t="inlineStr">
        <is>
          <t>2024-04-17</t>
        </is>
      </c>
      <c r="C63" s="4" t="inlineStr">
        <is>
          <t>South</t>
        </is>
      </c>
      <c r="D63" s="4" t="inlineStr">
        <is>
          <t>Alice Johnson</t>
        </is>
      </c>
      <c r="E63" s="4" t="inlineStr">
        <is>
          <t>Kids Rocket</t>
        </is>
      </c>
      <c r="F63" s="4" t="inlineStr">
        <is>
          <t>Kids</t>
        </is>
      </c>
      <c r="G63" s="4" t="n">
        <v>8</v>
      </c>
      <c r="H63" s="5" t="n">
        <v>180</v>
      </c>
      <c r="I63" s="5">
        <f>G63*H63</f>
        <v/>
      </c>
      <c r="J63" s="5" t="n">
        <v>108</v>
      </c>
      <c r="K63" s="5">
        <f>G63*J63</f>
        <v/>
      </c>
      <c r="L63" s="5">
        <f>I63-K63</f>
        <v/>
      </c>
    </row>
    <row r="64">
      <c r="A64" s="2" t="inlineStr">
        <is>
          <t>ORD-1063</t>
        </is>
      </c>
      <c r="B64" s="2" t="inlineStr">
        <is>
          <t>2024-04-03</t>
        </is>
      </c>
      <c r="C64" s="2" t="inlineStr">
        <is>
          <t>North</t>
        </is>
      </c>
      <c r="D64" s="2" t="inlineStr">
        <is>
          <t>Eve Davis</t>
        </is>
      </c>
      <c r="E64" s="2" t="inlineStr">
        <is>
          <t>Mountain Bike Pro</t>
        </is>
      </c>
      <c r="F64" s="2" t="inlineStr">
        <is>
          <t>Mountain</t>
        </is>
      </c>
      <c r="G64" s="2" t="n">
        <v>3</v>
      </c>
      <c r="H64" s="3" t="n">
        <v>850</v>
      </c>
      <c r="I64" s="3">
        <f>G64*H64</f>
        <v/>
      </c>
      <c r="J64" s="3" t="n">
        <v>510</v>
      </c>
      <c r="K64" s="3">
        <f>G64*J64</f>
        <v/>
      </c>
      <c r="L64" s="3">
        <f>I64-K64</f>
        <v/>
      </c>
    </row>
    <row r="65">
      <c r="A65" s="4" t="inlineStr">
        <is>
          <t>ORD-1064</t>
        </is>
      </c>
      <c r="B65" s="4" t="inlineStr">
        <is>
          <t>2024-04-19</t>
        </is>
      </c>
      <c r="C65" s="4" t="inlineStr">
        <is>
          <t>West</t>
        </is>
      </c>
      <c r="D65" s="4" t="inlineStr">
        <is>
          <t>Alice Johnson</t>
        </is>
      </c>
      <c r="E65" s="4" t="inlineStr">
        <is>
          <t>BMX Stunt</t>
        </is>
      </c>
      <c r="F65" s="4" t="inlineStr">
        <is>
          <t>BMX</t>
        </is>
      </c>
      <c r="G65" s="4" t="n">
        <v>4</v>
      </c>
      <c r="H65" s="5" t="n">
        <v>320</v>
      </c>
      <c r="I65" s="5">
        <f>G65*H65</f>
        <v/>
      </c>
      <c r="J65" s="5" t="n">
        <v>192</v>
      </c>
      <c r="K65" s="5">
        <f>G65*J65</f>
        <v/>
      </c>
      <c r="L65" s="5">
        <f>I65-K65</f>
        <v/>
      </c>
    </row>
    <row r="66">
      <c r="A66" s="2" t="inlineStr">
        <is>
          <t>ORD-1065</t>
        </is>
      </c>
      <c r="B66" s="2" t="inlineStr">
        <is>
          <t>2024-04-03</t>
        </is>
      </c>
      <c r="C66" s="2" t="inlineStr">
        <is>
          <t>North</t>
        </is>
      </c>
      <c r="D66" s="2" t="inlineStr">
        <is>
          <t>Eve Davis</t>
        </is>
      </c>
      <c r="E66" s="2" t="inlineStr">
        <is>
          <t>Road Racer X</t>
        </is>
      </c>
      <c r="F66" s="2" t="inlineStr">
        <is>
          <t>Road</t>
        </is>
      </c>
      <c r="G66" s="2" t="n">
        <v>10</v>
      </c>
      <c r="H66" s="3" t="n">
        <v>1200</v>
      </c>
      <c r="I66" s="3">
        <f>G66*H66</f>
        <v/>
      </c>
      <c r="J66" s="3" t="n">
        <v>720</v>
      </c>
      <c r="K66" s="3">
        <f>G66*J66</f>
        <v/>
      </c>
      <c r="L66" s="3">
        <f>I66-K66</f>
        <v/>
      </c>
    </row>
    <row r="67">
      <c r="A67" s="4" t="inlineStr">
        <is>
          <t>ORD-1066</t>
        </is>
      </c>
      <c r="B67" s="4" t="inlineStr">
        <is>
          <t>2024-04-07</t>
        </is>
      </c>
      <c r="C67" s="4" t="inlineStr">
        <is>
          <t>East</t>
        </is>
      </c>
      <c r="D67" s="4" t="inlineStr">
        <is>
          <t>Carol White</t>
        </is>
      </c>
      <c r="E67" s="4" t="inlineStr">
        <is>
          <t>Electric eBike</t>
        </is>
      </c>
      <c r="F67" s="4" t="inlineStr">
        <is>
          <t>Electric</t>
        </is>
      </c>
      <c r="G67" s="4" t="n">
        <v>10</v>
      </c>
      <c r="H67" s="5" t="n">
        <v>2200</v>
      </c>
      <c r="I67" s="5">
        <f>G67*H67</f>
        <v/>
      </c>
      <c r="J67" s="5" t="n">
        <v>1320</v>
      </c>
      <c r="K67" s="5">
        <f>G67*J67</f>
        <v/>
      </c>
      <c r="L67" s="5">
        <f>I67-K67</f>
        <v/>
      </c>
    </row>
    <row r="68">
      <c r="A68" s="2" t="inlineStr">
        <is>
          <t>ORD-1067</t>
        </is>
      </c>
      <c r="B68" s="2" t="inlineStr">
        <is>
          <t>2024-04-13</t>
        </is>
      </c>
      <c r="C68" s="2" t="inlineStr">
        <is>
          <t>South</t>
        </is>
      </c>
      <c r="D68" s="2" t="inlineStr">
        <is>
          <t>Carol White</t>
        </is>
      </c>
      <c r="E68" s="2" t="inlineStr">
        <is>
          <t>BMX Stunt</t>
        </is>
      </c>
      <c r="F68" s="2" t="inlineStr">
        <is>
          <t>BMX</t>
        </is>
      </c>
      <c r="G68" s="2" t="n">
        <v>6</v>
      </c>
      <c r="H68" s="3" t="n">
        <v>320</v>
      </c>
      <c r="I68" s="3">
        <f>G68*H68</f>
        <v/>
      </c>
      <c r="J68" s="3" t="n">
        <v>192</v>
      </c>
      <c r="K68" s="3">
        <f>G68*J68</f>
        <v/>
      </c>
      <c r="L68" s="3">
        <f>I68-K68</f>
        <v/>
      </c>
    </row>
    <row r="69">
      <c r="A69" s="4" t="inlineStr">
        <is>
          <t>ORD-1068</t>
        </is>
      </c>
      <c r="B69" s="4" t="inlineStr">
        <is>
          <t>2024-04-25</t>
        </is>
      </c>
      <c r="C69" s="4" t="inlineStr">
        <is>
          <t>West</t>
        </is>
      </c>
      <c r="D69" s="4" t="inlineStr">
        <is>
          <t>Carol White</t>
        </is>
      </c>
      <c r="E69" s="4" t="inlineStr">
        <is>
          <t>Road Racer X</t>
        </is>
      </c>
      <c r="F69" s="4" t="inlineStr">
        <is>
          <t>Road</t>
        </is>
      </c>
      <c r="G69" s="4" t="n">
        <v>5</v>
      </c>
      <c r="H69" s="5" t="n">
        <v>1200</v>
      </c>
      <c r="I69" s="5">
        <f>G69*H69</f>
        <v/>
      </c>
      <c r="J69" s="5" t="n">
        <v>720</v>
      </c>
      <c r="K69" s="5">
        <f>G69*J69</f>
        <v/>
      </c>
      <c r="L69" s="5">
        <f>I69-K69</f>
        <v/>
      </c>
    </row>
    <row r="70">
      <c r="A70" s="2" t="inlineStr">
        <is>
          <t>ORD-1069</t>
        </is>
      </c>
      <c r="B70" s="2" t="inlineStr">
        <is>
          <t>2024-04-19</t>
        </is>
      </c>
      <c r="C70" s="2" t="inlineStr">
        <is>
          <t>West</t>
        </is>
      </c>
      <c r="D70" s="2" t="inlineStr">
        <is>
          <t>Eve Davis</t>
        </is>
      </c>
      <c r="E70" s="2" t="inlineStr">
        <is>
          <t>Mountain Bike Pro</t>
        </is>
      </c>
      <c r="F70" s="2" t="inlineStr">
        <is>
          <t>Mountain</t>
        </is>
      </c>
      <c r="G70" s="2" t="n">
        <v>1</v>
      </c>
      <c r="H70" s="3" t="n">
        <v>850</v>
      </c>
      <c r="I70" s="3">
        <f>G70*H70</f>
        <v/>
      </c>
      <c r="J70" s="3" t="n">
        <v>510</v>
      </c>
      <c r="K70" s="3">
        <f>G70*J70</f>
        <v/>
      </c>
      <c r="L70" s="3">
        <f>I70-K70</f>
        <v/>
      </c>
    </row>
    <row r="71">
      <c r="A71" s="4" t="inlineStr">
        <is>
          <t>ORD-1070</t>
        </is>
      </c>
      <c r="B71" s="4" t="inlineStr">
        <is>
          <t>2024-04-09</t>
        </is>
      </c>
      <c r="C71" s="4" t="inlineStr">
        <is>
          <t>South</t>
        </is>
      </c>
      <c r="D71" s="4" t="inlineStr">
        <is>
          <t>Eve Davis</t>
        </is>
      </c>
      <c r="E71" s="4" t="inlineStr">
        <is>
          <t>Mountain Bike Pro</t>
        </is>
      </c>
      <c r="F71" s="4" t="inlineStr">
        <is>
          <t>Mountain</t>
        </is>
      </c>
      <c r="G71" s="4" t="n">
        <v>2</v>
      </c>
      <c r="H71" s="5" t="n">
        <v>850</v>
      </c>
      <c r="I71" s="5">
        <f>G71*H71</f>
        <v/>
      </c>
      <c r="J71" s="5" t="n">
        <v>510</v>
      </c>
      <c r="K71" s="5">
        <f>G71*J71</f>
        <v/>
      </c>
      <c r="L71" s="5">
        <f>I71-K71</f>
        <v/>
      </c>
    </row>
    <row r="72">
      <c r="A72" s="2" t="inlineStr">
        <is>
          <t>ORD-1071</t>
        </is>
      </c>
      <c r="B72" s="2" t="inlineStr">
        <is>
          <t>2024-04-12</t>
        </is>
      </c>
      <c r="C72" s="2" t="inlineStr">
        <is>
          <t>North</t>
        </is>
      </c>
      <c r="D72" s="2" t="inlineStr">
        <is>
          <t>Bob Smith</t>
        </is>
      </c>
      <c r="E72" s="2" t="inlineStr">
        <is>
          <t>Road Racer X</t>
        </is>
      </c>
      <c r="F72" s="2" t="inlineStr">
        <is>
          <t>Road</t>
        </is>
      </c>
      <c r="G72" s="2" t="n">
        <v>6</v>
      </c>
      <c r="H72" s="3" t="n">
        <v>1200</v>
      </c>
      <c r="I72" s="3">
        <f>G72*H72</f>
        <v/>
      </c>
      <c r="J72" s="3" t="n">
        <v>720</v>
      </c>
      <c r="K72" s="3">
        <f>G72*J72</f>
        <v/>
      </c>
      <c r="L72" s="3">
        <f>I72-K72</f>
        <v/>
      </c>
    </row>
    <row r="73">
      <c r="A73" s="4" t="inlineStr">
        <is>
          <t>ORD-1072</t>
        </is>
      </c>
      <c r="B73" s="4" t="inlineStr">
        <is>
          <t>2024-04-23</t>
        </is>
      </c>
      <c r="C73" s="4" t="inlineStr">
        <is>
          <t>West</t>
        </is>
      </c>
      <c r="D73" s="4" t="inlineStr">
        <is>
          <t>Eve Davis</t>
        </is>
      </c>
      <c r="E73" s="4" t="inlineStr">
        <is>
          <t>City Cruiser</t>
        </is>
      </c>
      <c r="F73" s="4" t="inlineStr">
        <is>
          <t>City</t>
        </is>
      </c>
      <c r="G73" s="4" t="n">
        <v>3</v>
      </c>
      <c r="H73" s="5" t="n">
        <v>450</v>
      </c>
      <c r="I73" s="5">
        <f>G73*H73</f>
        <v/>
      </c>
      <c r="J73" s="5" t="n">
        <v>270</v>
      </c>
      <c r="K73" s="5">
        <f>G73*J73</f>
        <v/>
      </c>
      <c r="L73" s="5">
        <f>I73-K73</f>
        <v/>
      </c>
    </row>
    <row r="74">
      <c r="A74" s="2" t="inlineStr">
        <is>
          <t>ORD-1073</t>
        </is>
      </c>
      <c r="B74" s="2" t="inlineStr">
        <is>
          <t>2024-04-10</t>
        </is>
      </c>
      <c r="C74" s="2" t="inlineStr">
        <is>
          <t>North</t>
        </is>
      </c>
      <c r="D74" s="2" t="inlineStr">
        <is>
          <t>Eve Davis</t>
        </is>
      </c>
      <c r="E74" s="2" t="inlineStr">
        <is>
          <t>City Cruiser</t>
        </is>
      </c>
      <c r="F74" s="2" t="inlineStr">
        <is>
          <t>City</t>
        </is>
      </c>
      <c r="G74" s="2" t="n">
        <v>10</v>
      </c>
      <c r="H74" s="3" t="n">
        <v>450</v>
      </c>
      <c r="I74" s="3">
        <f>G74*H74</f>
        <v/>
      </c>
      <c r="J74" s="3" t="n">
        <v>270</v>
      </c>
      <c r="K74" s="3">
        <f>G74*J74</f>
        <v/>
      </c>
      <c r="L74" s="3">
        <f>I74-K74</f>
        <v/>
      </c>
    </row>
    <row r="75">
      <c r="A75" s="4" t="inlineStr">
        <is>
          <t>ORD-1074</t>
        </is>
      </c>
      <c r="B75" s="4" t="inlineStr">
        <is>
          <t>2024-04-04</t>
        </is>
      </c>
      <c r="C75" s="4" t="inlineStr">
        <is>
          <t>South</t>
        </is>
      </c>
      <c r="D75" s="4" t="inlineStr">
        <is>
          <t>Carol White</t>
        </is>
      </c>
      <c r="E75" s="4" t="inlineStr">
        <is>
          <t>BMX Stunt</t>
        </is>
      </c>
      <c r="F75" s="4" t="inlineStr">
        <is>
          <t>BMX</t>
        </is>
      </c>
      <c r="G75" s="4" t="n">
        <v>2</v>
      </c>
      <c r="H75" s="5" t="n">
        <v>320</v>
      </c>
      <c r="I75" s="5">
        <f>G75*H75</f>
        <v/>
      </c>
      <c r="J75" s="5" t="n">
        <v>192</v>
      </c>
      <c r="K75" s="5">
        <f>G75*J75</f>
        <v/>
      </c>
      <c r="L75" s="5">
        <f>I75-K75</f>
        <v/>
      </c>
    </row>
    <row r="76">
      <c r="A76" s="2" t="inlineStr">
        <is>
          <t>ORD-1075</t>
        </is>
      </c>
      <c r="B76" s="2" t="inlineStr">
        <is>
          <t>2024-04-10</t>
        </is>
      </c>
      <c r="C76" s="2" t="inlineStr">
        <is>
          <t>South</t>
        </is>
      </c>
      <c r="D76" s="2" t="inlineStr">
        <is>
          <t>Carol White</t>
        </is>
      </c>
      <c r="E76" s="2" t="inlineStr">
        <is>
          <t>Mountain Bike Pro</t>
        </is>
      </c>
      <c r="F76" s="2" t="inlineStr">
        <is>
          <t>Mountain</t>
        </is>
      </c>
      <c r="G76" s="2" t="n">
        <v>9</v>
      </c>
      <c r="H76" s="3" t="n">
        <v>850</v>
      </c>
      <c r="I76" s="3">
        <f>G76*H76</f>
        <v/>
      </c>
      <c r="J76" s="3" t="n">
        <v>510</v>
      </c>
      <c r="K76" s="3">
        <f>G76*J76</f>
        <v/>
      </c>
      <c r="L76" s="3">
        <f>I76-K76</f>
        <v/>
      </c>
    </row>
    <row r="77">
      <c r="A77" s="4" t="inlineStr">
        <is>
          <t>ORD-1076</t>
        </is>
      </c>
      <c r="B77" s="4" t="inlineStr">
        <is>
          <t>2024-04-22</t>
        </is>
      </c>
      <c r="C77" s="4" t="inlineStr">
        <is>
          <t>East</t>
        </is>
      </c>
      <c r="D77" s="4" t="inlineStr">
        <is>
          <t>Bob Smith</t>
        </is>
      </c>
      <c r="E77" s="4" t="inlineStr">
        <is>
          <t>Kids Rocket</t>
        </is>
      </c>
      <c r="F77" s="4" t="inlineStr">
        <is>
          <t>Kids</t>
        </is>
      </c>
      <c r="G77" s="4" t="n">
        <v>4</v>
      </c>
      <c r="H77" s="5" t="n">
        <v>180</v>
      </c>
      <c r="I77" s="5">
        <f>G77*H77</f>
        <v/>
      </c>
      <c r="J77" s="5" t="n">
        <v>108</v>
      </c>
      <c r="K77" s="5">
        <f>G77*J77</f>
        <v/>
      </c>
      <c r="L77" s="5">
        <f>I77-K77</f>
        <v/>
      </c>
    </row>
    <row r="78">
      <c r="A78" s="2" t="inlineStr">
        <is>
          <t>ORD-1077</t>
        </is>
      </c>
      <c r="B78" s="2" t="inlineStr">
        <is>
          <t>2024-04-28</t>
        </is>
      </c>
      <c r="C78" s="2" t="inlineStr">
        <is>
          <t>West</t>
        </is>
      </c>
      <c r="D78" s="2" t="inlineStr">
        <is>
          <t>Carol White</t>
        </is>
      </c>
      <c r="E78" s="2" t="inlineStr">
        <is>
          <t>BMX Stunt</t>
        </is>
      </c>
      <c r="F78" s="2" t="inlineStr">
        <is>
          <t>BMX</t>
        </is>
      </c>
      <c r="G78" s="2" t="n">
        <v>5</v>
      </c>
      <c r="H78" s="3" t="n">
        <v>320</v>
      </c>
      <c r="I78" s="3">
        <f>G78*H78</f>
        <v/>
      </c>
      <c r="J78" s="3" t="n">
        <v>192</v>
      </c>
      <c r="K78" s="3">
        <f>G78*J78</f>
        <v/>
      </c>
      <c r="L78" s="3">
        <f>I78-K78</f>
        <v/>
      </c>
    </row>
    <row r="79">
      <c r="A79" s="4" t="inlineStr">
        <is>
          <t>ORD-1078</t>
        </is>
      </c>
      <c r="B79" s="4" t="inlineStr">
        <is>
          <t>2024-04-02</t>
        </is>
      </c>
      <c r="C79" s="4" t="inlineStr">
        <is>
          <t>West</t>
        </is>
      </c>
      <c r="D79" s="4" t="inlineStr">
        <is>
          <t>Carol White</t>
        </is>
      </c>
      <c r="E79" s="4" t="inlineStr">
        <is>
          <t>Mountain Bike Pro</t>
        </is>
      </c>
      <c r="F79" s="4" t="inlineStr">
        <is>
          <t>Mountain</t>
        </is>
      </c>
      <c r="G79" s="4" t="n">
        <v>2</v>
      </c>
      <c r="H79" s="5" t="n">
        <v>850</v>
      </c>
      <c r="I79" s="5">
        <f>G79*H79</f>
        <v/>
      </c>
      <c r="J79" s="5" t="n">
        <v>510</v>
      </c>
      <c r="K79" s="5">
        <f>G79*J79</f>
        <v/>
      </c>
      <c r="L79" s="5">
        <f>I79-K79</f>
        <v/>
      </c>
    </row>
    <row r="80">
      <c r="A80" s="2" t="inlineStr">
        <is>
          <t>ORD-1079</t>
        </is>
      </c>
      <c r="B80" s="2" t="inlineStr">
        <is>
          <t>2024-05-24</t>
        </is>
      </c>
      <c r="C80" s="2" t="inlineStr">
        <is>
          <t>East</t>
        </is>
      </c>
      <c r="D80" s="2" t="inlineStr">
        <is>
          <t>Bob Smith</t>
        </is>
      </c>
      <c r="E80" s="2" t="inlineStr">
        <is>
          <t>City Cruiser</t>
        </is>
      </c>
      <c r="F80" s="2" t="inlineStr">
        <is>
          <t>City</t>
        </is>
      </c>
      <c r="G80" s="2" t="n">
        <v>3</v>
      </c>
      <c r="H80" s="3" t="n">
        <v>450</v>
      </c>
      <c r="I80" s="3">
        <f>G80*H80</f>
        <v/>
      </c>
      <c r="J80" s="3" t="n">
        <v>270</v>
      </c>
      <c r="K80" s="3">
        <f>G80*J80</f>
        <v/>
      </c>
      <c r="L80" s="3">
        <f>I80-K80</f>
        <v/>
      </c>
    </row>
    <row r="81">
      <c r="A81" s="4" t="inlineStr">
        <is>
          <t>ORD-1080</t>
        </is>
      </c>
      <c r="B81" s="4" t="inlineStr">
        <is>
          <t>2024-05-01</t>
        </is>
      </c>
      <c r="C81" s="4" t="inlineStr">
        <is>
          <t>West</t>
        </is>
      </c>
      <c r="D81" s="4" t="inlineStr">
        <is>
          <t>Eve Davis</t>
        </is>
      </c>
      <c r="E81" s="4" t="inlineStr">
        <is>
          <t>Electric eBike</t>
        </is>
      </c>
      <c r="F81" s="4" t="inlineStr">
        <is>
          <t>Electric</t>
        </is>
      </c>
      <c r="G81" s="4" t="n">
        <v>9</v>
      </c>
      <c r="H81" s="5" t="n">
        <v>2200</v>
      </c>
      <c r="I81" s="5">
        <f>G81*H81</f>
        <v/>
      </c>
      <c r="J81" s="5" t="n">
        <v>1320</v>
      </c>
      <c r="K81" s="5">
        <f>G81*J81</f>
        <v/>
      </c>
      <c r="L81" s="5">
        <f>I81-K81</f>
        <v/>
      </c>
    </row>
    <row r="82">
      <c r="A82" s="2" t="inlineStr">
        <is>
          <t>ORD-1081</t>
        </is>
      </c>
      <c r="B82" s="2" t="inlineStr">
        <is>
          <t>2024-05-02</t>
        </is>
      </c>
      <c r="C82" s="2" t="inlineStr">
        <is>
          <t>South</t>
        </is>
      </c>
      <c r="D82" s="2" t="inlineStr">
        <is>
          <t>Eve Davis</t>
        </is>
      </c>
      <c r="E82" s="2" t="inlineStr">
        <is>
          <t>Mountain Bike Pro</t>
        </is>
      </c>
      <c r="F82" s="2" t="inlineStr">
        <is>
          <t>Mountain</t>
        </is>
      </c>
      <c r="G82" s="2" t="n">
        <v>2</v>
      </c>
      <c r="H82" s="3" t="n">
        <v>850</v>
      </c>
      <c r="I82" s="3">
        <f>G82*H82</f>
        <v/>
      </c>
      <c r="J82" s="3" t="n">
        <v>510</v>
      </c>
      <c r="K82" s="3">
        <f>G82*J82</f>
        <v/>
      </c>
      <c r="L82" s="3">
        <f>I82-K82</f>
        <v/>
      </c>
    </row>
    <row r="83">
      <c r="A83" s="4" t="inlineStr">
        <is>
          <t>ORD-1082</t>
        </is>
      </c>
      <c r="B83" s="4" t="inlineStr">
        <is>
          <t>2024-05-05</t>
        </is>
      </c>
      <c r="C83" s="4" t="inlineStr">
        <is>
          <t>South</t>
        </is>
      </c>
      <c r="D83" s="4" t="inlineStr">
        <is>
          <t>David Brown</t>
        </is>
      </c>
      <c r="E83" s="4" t="inlineStr">
        <is>
          <t>Hybrid Commuter</t>
        </is>
      </c>
      <c r="F83" s="4" t="inlineStr">
        <is>
          <t>City</t>
        </is>
      </c>
      <c r="G83" s="4" t="n">
        <v>6</v>
      </c>
      <c r="H83" s="5" t="n">
        <v>650</v>
      </c>
      <c r="I83" s="5">
        <f>G83*H83</f>
        <v/>
      </c>
      <c r="J83" s="5" t="n">
        <v>390</v>
      </c>
      <c r="K83" s="5">
        <f>G83*J83</f>
        <v/>
      </c>
      <c r="L83" s="5">
        <f>I83-K83</f>
        <v/>
      </c>
    </row>
    <row r="84">
      <c r="A84" s="2" t="inlineStr">
        <is>
          <t>ORD-1083</t>
        </is>
      </c>
      <c r="B84" s="2" t="inlineStr">
        <is>
          <t>2024-05-12</t>
        </is>
      </c>
      <c r="C84" s="2" t="inlineStr">
        <is>
          <t>East</t>
        </is>
      </c>
      <c r="D84" s="2" t="inlineStr">
        <is>
          <t>Alice Johnson</t>
        </is>
      </c>
      <c r="E84" s="2" t="inlineStr">
        <is>
          <t>Mountain Bike Pro</t>
        </is>
      </c>
      <c r="F84" s="2" t="inlineStr">
        <is>
          <t>Mountain</t>
        </is>
      </c>
      <c r="G84" s="2" t="n">
        <v>5</v>
      </c>
      <c r="H84" s="3" t="n">
        <v>850</v>
      </c>
      <c r="I84" s="3">
        <f>G84*H84</f>
        <v/>
      </c>
      <c r="J84" s="3" t="n">
        <v>510</v>
      </c>
      <c r="K84" s="3">
        <f>G84*J84</f>
        <v/>
      </c>
      <c r="L84" s="3">
        <f>I84-K84</f>
        <v/>
      </c>
    </row>
    <row r="85">
      <c r="A85" s="4" t="inlineStr">
        <is>
          <t>ORD-1084</t>
        </is>
      </c>
      <c r="B85" s="4" t="inlineStr">
        <is>
          <t>2024-05-25</t>
        </is>
      </c>
      <c r="C85" s="4" t="inlineStr">
        <is>
          <t>North</t>
        </is>
      </c>
      <c r="D85" s="4" t="inlineStr">
        <is>
          <t>Carol White</t>
        </is>
      </c>
      <c r="E85" s="4" t="inlineStr">
        <is>
          <t>Road Racer X</t>
        </is>
      </c>
      <c r="F85" s="4" t="inlineStr">
        <is>
          <t>Road</t>
        </is>
      </c>
      <c r="G85" s="4" t="n">
        <v>4</v>
      </c>
      <c r="H85" s="5" t="n">
        <v>1200</v>
      </c>
      <c r="I85" s="5">
        <f>G85*H85</f>
        <v/>
      </c>
      <c r="J85" s="5" t="n">
        <v>720</v>
      </c>
      <c r="K85" s="5">
        <f>G85*J85</f>
        <v/>
      </c>
      <c r="L85" s="5">
        <f>I85-K85</f>
        <v/>
      </c>
    </row>
    <row r="86">
      <c r="A86" s="2" t="inlineStr">
        <is>
          <t>ORD-1085</t>
        </is>
      </c>
      <c r="B86" s="2" t="inlineStr">
        <is>
          <t>2024-05-28</t>
        </is>
      </c>
      <c r="C86" s="2" t="inlineStr">
        <is>
          <t>South</t>
        </is>
      </c>
      <c r="D86" s="2" t="inlineStr">
        <is>
          <t>Bob Smith</t>
        </is>
      </c>
      <c r="E86" s="2" t="inlineStr">
        <is>
          <t>Kids Rocket</t>
        </is>
      </c>
      <c r="F86" s="2" t="inlineStr">
        <is>
          <t>Kids</t>
        </is>
      </c>
      <c r="G86" s="2" t="n">
        <v>7</v>
      </c>
      <c r="H86" s="3" t="n">
        <v>180</v>
      </c>
      <c r="I86" s="3">
        <f>G86*H86</f>
        <v/>
      </c>
      <c r="J86" s="3" t="n">
        <v>108</v>
      </c>
      <c r="K86" s="3">
        <f>G86*J86</f>
        <v/>
      </c>
      <c r="L86" s="3">
        <f>I86-K86</f>
        <v/>
      </c>
    </row>
    <row r="87">
      <c r="A87" s="4" t="inlineStr">
        <is>
          <t>ORD-1086</t>
        </is>
      </c>
      <c r="B87" s="4" t="inlineStr">
        <is>
          <t>2024-05-06</t>
        </is>
      </c>
      <c r="C87" s="4" t="inlineStr">
        <is>
          <t>West</t>
        </is>
      </c>
      <c r="D87" s="4" t="inlineStr">
        <is>
          <t>Alice Johnson</t>
        </is>
      </c>
      <c r="E87" s="4" t="inlineStr">
        <is>
          <t>Road Racer X</t>
        </is>
      </c>
      <c r="F87" s="4" t="inlineStr">
        <is>
          <t>Road</t>
        </is>
      </c>
      <c r="G87" s="4" t="n">
        <v>3</v>
      </c>
      <c r="H87" s="5" t="n">
        <v>1200</v>
      </c>
      <c r="I87" s="5">
        <f>G87*H87</f>
        <v/>
      </c>
      <c r="J87" s="5" t="n">
        <v>720</v>
      </c>
      <c r="K87" s="5">
        <f>G87*J87</f>
        <v/>
      </c>
      <c r="L87" s="5">
        <f>I87-K87</f>
        <v/>
      </c>
    </row>
    <row r="88">
      <c r="A88" s="2" t="inlineStr">
        <is>
          <t>ORD-1087</t>
        </is>
      </c>
      <c r="B88" s="2" t="inlineStr">
        <is>
          <t>2024-05-09</t>
        </is>
      </c>
      <c r="C88" s="2" t="inlineStr">
        <is>
          <t>West</t>
        </is>
      </c>
      <c r="D88" s="2" t="inlineStr">
        <is>
          <t>Bob Smith</t>
        </is>
      </c>
      <c r="E88" s="2" t="inlineStr">
        <is>
          <t>BMX Stunt</t>
        </is>
      </c>
      <c r="F88" s="2" t="inlineStr">
        <is>
          <t>BMX</t>
        </is>
      </c>
      <c r="G88" s="2" t="n">
        <v>6</v>
      </c>
      <c r="H88" s="3" t="n">
        <v>320</v>
      </c>
      <c r="I88" s="3">
        <f>G88*H88</f>
        <v/>
      </c>
      <c r="J88" s="3" t="n">
        <v>192</v>
      </c>
      <c r="K88" s="3">
        <f>G88*J88</f>
        <v/>
      </c>
      <c r="L88" s="3">
        <f>I88-K88</f>
        <v/>
      </c>
    </row>
    <row r="89">
      <c r="A89" s="4" t="inlineStr">
        <is>
          <t>ORD-1088</t>
        </is>
      </c>
      <c r="B89" s="4" t="inlineStr">
        <is>
          <t>2024-05-28</t>
        </is>
      </c>
      <c r="C89" s="4" t="inlineStr">
        <is>
          <t>West</t>
        </is>
      </c>
      <c r="D89" s="4" t="inlineStr">
        <is>
          <t>Alice Johnson</t>
        </is>
      </c>
      <c r="E89" s="4" t="inlineStr">
        <is>
          <t>Road Racer X</t>
        </is>
      </c>
      <c r="F89" s="4" t="inlineStr">
        <is>
          <t>Road</t>
        </is>
      </c>
      <c r="G89" s="4" t="n">
        <v>2</v>
      </c>
      <c r="H89" s="5" t="n">
        <v>1200</v>
      </c>
      <c r="I89" s="5">
        <f>G89*H89</f>
        <v/>
      </c>
      <c r="J89" s="5" t="n">
        <v>720</v>
      </c>
      <c r="K89" s="5">
        <f>G89*J89</f>
        <v/>
      </c>
      <c r="L89" s="5">
        <f>I89-K89</f>
        <v/>
      </c>
    </row>
    <row r="90">
      <c r="A90" s="2" t="inlineStr">
        <is>
          <t>ORD-1089</t>
        </is>
      </c>
      <c r="B90" s="2" t="inlineStr">
        <is>
          <t>2024-05-12</t>
        </is>
      </c>
      <c r="C90" s="2" t="inlineStr">
        <is>
          <t>South</t>
        </is>
      </c>
      <c r="D90" s="2" t="inlineStr">
        <is>
          <t>David Brown</t>
        </is>
      </c>
      <c r="E90" s="2" t="inlineStr">
        <is>
          <t>Electric eBike</t>
        </is>
      </c>
      <c r="F90" s="2" t="inlineStr">
        <is>
          <t>Electric</t>
        </is>
      </c>
      <c r="G90" s="2" t="n">
        <v>4</v>
      </c>
      <c r="H90" s="3" t="n">
        <v>2200</v>
      </c>
      <c r="I90" s="3">
        <f>G90*H90</f>
        <v/>
      </c>
      <c r="J90" s="3" t="n">
        <v>1320</v>
      </c>
      <c r="K90" s="3">
        <f>G90*J90</f>
        <v/>
      </c>
      <c r="L90" s="3">
        <f>I90-K90</f>
        <v/>
      </c>
    </row>
    <row r="91">
      <c r="A91" s="4" t="inlineStr">
        <is>
          <t>ORD-1090</t>
        </is>
      </c>
      <c r="B91" s="4" t="inlineStr">
        <is>
          <t>2024-05-22</t>
        </is>
      </c>
      <c r="C91" s="4" t="inlineStr">
        <is>
          <t>South</t>
        </is>
      </c>
      <c r="D91" s="4" t="inlineStr">
        <is>
          <t>Alice Johnson</t>
        </is>
      </c>
      <c r="E91" s="4" t="inlineStr">
        <is>
          <t>City Cruiser</t>
        </is>
      </c>
      <c r="F91" s="4" t="inlineStr">
        <is>
          <t>City</t>
        </is>
      </c>
      <c r="G91" s="4" t="n">
        <v>4</v>
      </c>
      <c r="H91" s="5" t="n">
        <v>450</v>
      </c>
      <c r="I91" s="5">
        <f>G91*H91</f>
        <v/>
      </c>
      <c r="J91" s="5" t="n">
        <v>270</v>
      </c>
      <c r="K91" s="5">
        <f>G91*J91</f>
        <v/>
      </c>
      <c r="L91" s="5">
        <f>I91-K91</f>
        <v/>
      </c>
    </row>
    <row r="92">
      <c r="A92" s="2" t="inlineStr">
        <is>
          <t>ORD-1091</t>
        </is>
      </c>
      <c r="B92" s="2" t="inlineStr">
        <is>
          <t>2024-05-28</t>
        </is>
      </c>
      <c r="C92" s="2" t="inlineStr">
        <is>
          <t>East</t>
        </is>
      </c>
      <c r="D92" s="2" t="inlineStr">
        <is>
          <t>Carol White</t>
        </is>
      </c>
      <c r="E92" s="2" t="inlineStr">
        <is>
          <t>Road Racer X</t>
        </is>
      </c>
      <c r="F92" s="2" t="inlineStr">
        <is>
          <t>Road</t>
        </is>
      </c>
      <c r="G92" s="2" t="n">
        <v>7</v>
      </c>
      <c r="H92" s="3" t="n">
        <v>1200</v>
      </c>
      <c r="I92" s="3">
        <f>G92*H92</f>
        <v/>
      </c>
      <c r="J92" s="3" t="n">
        <v>720</v>
      </c>
      <c r="K92" s="3">
        <f>G92*J92</f>
        <v/>
      </c>
      <c r="L92" s="3">
        <f>I92-K92</f>
        <v/>
      </c>
    </row>
    <row r="93">
      <c r="A93" s="4" t="inlineStr">
        <is>
          <t>ORD-1092</t>
        </is>
      </c>
      <c r="B93" s="4" t="inlineStr">
        <is>
          <t>2024-05-13</t>
        </is>
      </c>
      <c r="C93" s="4" t="inlineStr">
        <is>
          <t>East</t>
        </is>
      </c>
      <c r="D93" s="4" t="inlineStr">
        <is>
          <t>Eve Davis</t>
        </is>
      </c>
      <c r="E93" s="4" t="inlineStr">
        <is>
          <t>Mountain Bike Pro</t>
        </is>
      </c>
      <c r="F93" s="4" t="inlineStr">
        <is>
          <t>Mountain</t>
        </is>
      </c>
      <c r="G93" s="4" t="n">
        <v>5</v>
      </c>
      <c r="H93" s="5" t="n">
        <v>850</v>
      </c>
      <c r="I93" s="5">
        <f>G93*H93</f>
        <v/>
      </c>
      <c r="J93" s="5" t="n">
        <v>510</v>
      </c>
      <c r="K93" s="5">
        <f>G93*J93</f>
        <v/>
      </c>
      <c r="L93" s="5">
        <f>I93-K93</f>
        <v/>
      </c>
    </row>
    <row r="94">
      <c r="A94" s="2" t="inlineStr">
        <is>
          <t>ORD-1093</t>
        </is>
      </c>
      <c r="B94" s="2" t="inlineStr">
        <is>
          <t>2024-05-04</t>
        </is>
      </c>
      <c r="C94" s="2" t="inlineStr">
        <is>
          <t>East</t>
        </is>
      </c>
      <c r="D94" s="2" t="inlineStr">
        <is>
          <t>Alice Johnson</t>
        </is>
      </c>
      <c r="E94" s="2" t="inlineStr">
        <is>
          <t>BMX Stunt</t>
        </is>
      </c>
      <c r="F94" s="2" t="inlineStr">
        <is>
          <t>BMX</t>
        </is>
      </c>
      <c r="G94" s="2" t="n">
        <v>9</v>
      </c>
      <c r="H94" s="3" t="n">
        <v>320</v>
      </c>
      <c r="I94" s="3">
        <f>G94*H94</f>
        <v/>
      </c>
      <c r="J94" s="3" t="n">
        <v>192</v>
      </c>
      <c r="K94" s="3">
        <f>G94*J94</f>
        <v/>
      </c>
      <c r="L94" s="3">
        <f>I94-K94</f>
        <v/>
      </c>
    </row>
    <row r="95">
      <c r="A95" s="4" t="inlineStr">
        <is>
          <t>ORD-1094</t>
        </is>
      </c>
      <c r="B95" s="4" t="inlineStr">
        <is>
          <t>2024-06-04</t>
        </is>
      </c>
      <c r="C95" s="4" t="inlineStr">
        <is>
          <t>East</t>
        </is>
      </c>
      <c r="D95" s="4" t="inlineStr">
        <is>
          <t>Alice Johnson</t>
        </is>
      </c>
      <c r="E95" s="4" t="inlineStr">
        <is>
          <t>Road Racer X</t>
        </is>
      </c>
      <c r="F95" s="4" t="inlineStr">
        <is>
          <t>Road</t>
        </is>
      </c>
      <c r="G95" s="4" t="n">
        <v>10</v>
      </c>
      <c r="H95" s="5" t="n">
        <v>1200</v>
      </c>
      <c r="I95" s="5">
        <f>G95*H95</f>
        <v/>
      </c>
      <c r="J95" s="5" t="n">
        <v>720</v>
      </c>
      <c r="K95" s="5">
        <f>G95*J95</f>
        <v/>
      </c>
      <c r="L95" s="5">
        <f>I95-K95</f>
        <v/>
      </c>
    </row>
    <row r="96">
      <c r="A96" s="2" t="inlineStr">
        <is>
          <t>ORD-1095</t>
        </is>
      </c>
      <c r="B96" s="2" t="inlineStr">
        <is>
          <t>2024-06-14</t>
        </is>
      </c>
      <c r="C96" s="2" t="inlineStr">
        <is>
          <t>East</t>
        </is>
      </c>
      <c r="D96" s="2" t="inlineStr">
        <is>
          <t>Carol White</t>
        </is>
      </c>
      <c r="E96" s="2" t="inlineStr">
        <is>
          <t>Kids Rocket</t>
        </is>
      </c>
      <c r="F96" s="2" t="inlineStr">
        <is>
          <t>Kids</t>
        </is>
      </c>
      <c r="G96" s="2" t="n">
        <v>7</v>
      </c>
      <c r="H96" s="3" t="n">
        <v>180</v>
      </c>
      <c r="I96" s="3">
        <f>G96*H96</f>
        <v/>
      </c>
      <c r="J96" s="3" t="n">
        <v>108</v>
      </c>
      <c r="K96" s="3">
        <f>G96*J96</f>
        <v/>
      </c>
      <c r="L96" s="3">
        <f>I96-K96</f>
        <v/>
      </c>
    </row>
    <row r="97">
      <c r="A97" s="4" t="inlineStr">
        <is>
          <t>ORD-1096</t>
        </is>
      </c>
      <c r="B97" s="4" t="inlineStr">
        <is>
          <t>2024-06-19</t>
        </is>
      </c>
      <c r="C97" s="4" t="inlineStr">
        <is>
          <t>North</t>
        </is>
      </c>
      <c r="D97" s="4" t="inlineStr">
        <is>
          <t>David Brown</t>
        </is>
      </c>
      <c r="E97" s="4" t="inlineStr">
        <is>
          <t>Kids Rocket</t>
        </is>
      </c>
      <c r="F97" s="4" t="inlineStr">
        <is>
          <t>Kids</t>
        </is>
      </c>
      <c r="G97" s="4" t="n">
        <v>9</v>
      </c>
      <c r="H97" s="5" t="n">
        <v>180</v>
      </c>
      <c r="I97" s="5">
        <f>G97*H97</f>
        <v/>
      </c>
      <c r="J97" s="5" t="n">
        <v>108</v>
      </c>
      <c r="K97" s="5">
        <f>G97*J97</f>
        <v/>
      </c>
      <c r="L97" s="5">
        <f>I97-K97</f>
        <v/>
      </c>
    </row>
    <row r="98">
      <c r="A98" s="2" t="inlineStr">
        <is>
          <t>ORD-1097</t>
        </is>
      </c>
      <c r="B98" s="2" t="inlineStr">
        <is>
          <t>2024-06-01</t>
        </is>
      </c>
      <c r="C98" s="2" t="inlineStr">
        <is>
          <t>North</t>
        </is>
      </c>
      <c r="D98" s="2" t="inlineStr">
        <is>
          <t>David Brown</t>
        </is>
      </c>
      <c r="E98" s="2" t="inlineStr">
        <is>
          <t>Road Racer X</t>
        </is>
      </c>
      <c r="F98" s="2" t="inlineStr">
        <is>
          <t>Road</t>
        </is>
      </c>
      <c r="G98" s="2" t="n">
        <v>5</v>
      </c>
      <c r="H98" s="3" t="n">
        <v>1200</v>
      </c>
      <c r="I98" s="3">
        <f>G98*H98</f>
        <v/>
      </c>
      <c r="J98" s="3" t="n">
        <v>720</v>
      </c>
      <c r="K98" s="3">
        <f>G98*J98</f>
        <v/>
      </c>
      <c r="L98" s="3">
        <f>I98-K98</f>
        <v/>
      </c>
    </row>
    <row r="99">
      <c r="A99" s="4" t="inlineStr">
        <is>
          <t>ORD-1098</t>
        </is>
      </c>
      <c r="B99" s="4" t="inlineStr">
        <is>
          <t>2024-06-14</t>
        </is>
      </c>
      <c r="C99" s="4" t="inlineStr">
        <is>
          <t>South</t>
        </is>
      </c>
      <c r="D99" s="4" t="inlineStr">
        <is>
          <t>Carol White</t>
        </is>
      </c>
      <c r="E99" s="4" t="inlineStr">
        <is>
          <t>Kids Rocket</t>
        </is>
      </c>
      <c r="F99" s="4" t="inlineStr">
        <is>
          <t>Kids</t>
        </is>
      </c>
      <c r="G99" s="4" t="n">
        <v>9</v>
      </c>
      <c r="H99" s="5" t="n">
        <v>180</v>
      </c>
      <c r="I99" s="5">
        <f>G99*H99</f>
        <v/>
      </c>
      <c r="J99" s="5" t="n">
        <v>108</v>
      </c>
      <c r="K99" s="5">
        <f>G99*J99</f>
        <v/>
      </c>
      <c r="L99" s="5">
        <f>I99-K99</f>
        <v/>
      </c>
    </row>
    <row r="100">
      <c r="A100" s="2" t="inlineStr">
        <is>
          <t>ORD-1099</t>
        </is>
      </c>
      <c r="B100" s="2" t="inlineStr">
        <is>
          <t>2024-06-24</t>
        </is>
      </c>
      <c r="C100" s="2" t="inlineStr">
        <is>
          <t>East</t>
        </is>
      </c>
      <c r="D100" s="2" t="inlineStr">
        <is>
          <t>Alice Johnson</t>
        </is>
      </c>
      <c r="E100" s="2" t="inlineStr">
        <is>
          <t>Mountain Bike Pro</t>
        </is>
      </c>
      <c r="F100" s="2" t="inlineStr">
        <is>
          <t>Mountain</t>
        </is>
      </c>
      <c r="G100" s="2" t="n">
        <v>6</v>
      </c>
      <c r="H100" s="3" t="n">
        <v>850</v>
      </c>
      <c r="I100" s="3">
        <f>G100*H100</f>
        <v/>
      </c>
      <c r="J100" s="3" t="n">
        <v>510</v>
      </c>
      <c r="K100" s="3">
        <f>G100*J100</f>
        <v/>
      </c>
      <c r="L100" s="3">
        <f>I100-K100</f>
        <v/>
      </c>
    </row>
    <row r="101">
      <c r="A101" s="4" t="inlineStr">
        <is>
          <t>ORD-1100</t>
        </is>
      </c>
      <c r="B101" s="4" t="inlineStr">
        <is>
          <t>2024-06-11</t>
        </is>
      </c>
      <c r="C101" s="4" t="inlineStr">
        <is>
          <t>East</t>
        </is>
      </c>
      <c r="D101" s="4" t="inlineStr">
        <is>
          <t>David Brown</t>
        </is>
      </c>
      <c r="E101" s="4" t="inlineStr">
        <is>
          <t>City Cruiser</t>
        </is>
      </c>
      <c r="F101" s="4" t="inlineStr">
        <is>
          <t>City</t>
        </is>
      </c>
      <c r="G101" s="4" t="n">
        <v>9</v>
      </c>
      <c r="H101" s="5" t="n">
        <v>450</v>
      </c>
      <c r="I101" s="5">
        <f>G101*H101</f>
        <v/>
      </c>
      <c r="J101" s="5" t="n">
        <v>270</v>
      </c>
      <c r="K101" s="5">
        <f>G101*J101</f>
        <v/>
      </c>
      <c r="L101" s="5">
        <f>I101-K101</f>
        <v/>
      </c>
    </row>
    <row r="102">
      <c r="A102" s="2" t="inlineStr">
        <is>
          <t>ORD-1101</t>
        </is>
      </c>
      <c r="B102" s="2" t="inlineStr">
        <is>
          <t>2024-06-14</t>
        </is>
      </c>
      <c r="C102" s="2" t="inlineStr">
        <is>
          <t>South</t>
        </is>
      </c>
      <c r="D102" s="2" t="inlineStr">
        <is>
          <t>Bob Smith</t>
        </is>
      </c>
      <c r="E102" s="2" t="inlineStr">
        <is>
          <t>Electric eBike</t>
        </is>
      </c>
      <c r="F102" s="2" t="inlineStr">
        <is>
          <t>Electric</t>
        </is>
      </c>
      <c r="G102" s="2" t="n">
        <v>5</v>
      </c>
      <c r="H102" s="3" t="n">
        <v>2200</v>
      </c>
      <c r="I102" s="3">
        <f>G102*H102</f>
        <v/>
      </c>
      <c r="J102" s="3" t="n">
        <v>1320</v>
      </c>
      <c r="K102" s="3">
        <f>G102*J102</f>
        <v/>
      </c>
      <c r="L102" s="3">
        <f>I102-K102</f>
        <v/>
      </c>
    </row>
    <row r="103">
      <c r="A103" s="4" t="inlineStr">
        <is>
          <t>ORD-1102</t>
        </is>
      </c>
      <c r="B103" s="4" t="inlineStr">
        <is>
          <t>2024-06-19</t>
        </is>
      </c>
      <c r="C103" s="4" t="inlineStr">
        <is>
          <t>South</t>
        </is>
      </c>
      <c r="D103" s="4" t="inlineStr">
        <is>
          <t>Eve Davis</t>
        </is>
      </c>
      <c r="E103" s="4" t="inlineStr">
        <is>
          <t>BMX Stunt</t>
        </is>
      </c>
      <c r="F103" s="4" t="inlineStr">
        <is>
          <t>BMX</t>
        </is>
      </c>
      <c r="G103" s="4" t="n">
        <v>7</v>
      </c>
      <c r="H103" s="5" t="n">
        <v>320</v>
      </c>
      <c r="I103" s="5">
        <f>G103*H103</f>
        <v/>
      </c>
      <c r="J103" s="5" t="n">
        <v>192</v>
      </c>
      <c r="K103" s="5">
        <f>G103*J103</f>
        <v/>
      </c>
      <c r="L103" s="5">
        <f>I103-K103</f>
        <v/>
      </c>
    </row>
    <row r="104">
      <c r="A104" s="2" t="inlineStr">
        <is>
          <t>ORD-1103</t>
        </is>
      </c>
      <c r="B104" s="2" t="inlineStr">
        <is>
          <t>2024-06-10</t>
        </is>
      </c>
      <c r="C104" s="2" t="inlineStr">
        <is>
          <t>North</t>
        </is>
      </c>
      <c r="D104" s="2" t="inlineStr">
        <is>
          <t>Carol White</t>
        </is>
      </c>
      <c r="E104" s="2" t="inlineStr">
        <is>
          <t>City Cruiser</t>
        </is>
      </c>
      <c r="F104" s="2" t="inlineStr">
        <is>
          <t>City</t>
        </is>
      </c>
      <c r="G104" s="2" t="n">
        <v>7</v>
      </c>
      <c r="H104" s="3" t="n">
        <v>450</v>
      </c>
      <c r="I104" s="3">
        <f>G104*H104</f>
        <v/>
      </c>
      <c r="J104" s="3" t="n">
        <v>270</v>
      </c>
      <c r="K104" s="3">
        <f>G104*J104</f>
        <v/>
      </c>
      <c r="L104" s="3">
        <f>I104-K104</f>
        <v/>
      </c>
    </row>
    <row r="105">
      <c r="A105" s="4" t="inlineStr">
        <is>
          <t>ORD-1104</t>
        </is>
      </c>
      <c r="B105" s="4" t="inlineStr">
        <is>
          <t>2024-06-15</t>
        </is>
      </c>
      <c r="C105" s="4" t="inlineStr">
        <is>
          <t>East</t>
        </is>
      </c>
      <c r="D105" s="4" t="inlineStr">
        <is>
          <t>David Brown</t>
        </is>
      </c>
      <c r="E105" s="4" t="inlineStr">
        <is>
          <t>Road Racer X</t>
        </is>
      </c>
      <c r="F105" s="4" t="inlineStr">
        <is>
          <t>Road</t>
        </is>
      </c>
      <c r="G105" s="4" t="n">
        <v>7</v>
      </c>
      <c r="H105" s="5" t="n">
        <v>1200</v>
      </c>
      <c r="I105" s="5">
        <f>G105*H105</f>
        <v/>
      </c>
      <c r="J105" s="5" t="n">
        <v>720</v>
      </c>
      <c r="K105" s="5">
        <f>G105*J105</f>
        <v/>
      </c>
      <c r="L105" s="5">
        <f>I105-K105</f>
        <v/>
      </c>
    </row>
    <row r="106">
      <c r="A106" s="2" t="inlineStr">
        <is>
          <t>ORD-1105</t>
        </is>
      </c>
      <c r="B106" s="2" t="inlineStr">
        <is>
          <t>2024-06-22</t>
        </is>
      </c>
      <c r="C106" s="2" t="inlineStr">
        <is>
          <t>West</t>
        </is>
      </c>
      <c r="D106" s="2" t="inlineStr">
        <is>
          <t>Bob Smith</t>
        </is>
      </c>
      <c r="E106" s="2" t="inlineStr">
        <is>
          <t>Electric eBike</t>
        </is>
      </c>
      <c r="F106" s="2" t="inlineStr">
        <is>
          <t>Electric</t>
        </is>
      </c>
      <c r="G106" s="2" t="n">
        <v>4</v>
      </c>
      <c r="H106" s="3" t="n">
        <v>2200</v>
      </c>
      <c r="I106" s="3">
        <f>G106*H106</f>
        <v/>
      </c>
      <c r="J106" s="3" t="n">
        <v>1320</v>
      </c>
      <c r="K106" s="3">
        <f>G106*J106</f>
        <v/>
      </c>
      <c r="L106" s="3">
        <f>I106-K106</f>
        <v/>
      </c>
    </row>
    <row r="107">
      <c r="A107" s="4" t="inlineStr">
        <is>
          <t>ORD-1106</t>
        </is>
      </c>
      <c r="B107" s="4" t="inlineStr">
        <is>
          <t>2024-06-27</t>
        </is>
      </c>
      <c r="C107" s="4" t="inlineStr">
        <is>
          <t>East</t>
        </is>
      </c>
      <c r="D107" s="4" t="inlineStr">
        <is>
          <t>Alice Johnson</t>
        </is>
      </c>
      <c r="E107" s="4" t="inlineStr">
        <is>
          <t>Mountain Bike Pro</t>
        </is>
      </c>
      <c r="F107" s="4" t="inlineStr">
        <is>
          <t>Mountain</t>
        </is>
      </c>
      <c r="G107" s="4" t="n">
        <v>5</v>
      </c>
      <c r="H107" s="5" t="n">
        <v>850</v>
      </c>
      <c r="I107" s="5">
        <f>G107*H107</f>
        <v/>
      </c>
      <c r="J107" s="5" t="n">
        <v>510</v>
      </c>
      <c r="K107" s="5">
        <f>G107*J107</f>
        <v/>
      </c>
      <c r="L107" s="5">
        <f>I107-K107</f>
        <v/>
      </c>
    </row>
    <row r="108">
      <c r="A108" s="2" t="inlineStr">
        <is>
          <t>ORD-1107</t>
        </is>
      </c>
      <c r="B108" s="2" t="inlineStr">
        <is>
          <t>2024-06-26</t>
        </is>
      </c>
      <c r="C108" s="2" t="inlineStr">
        <is>
          <t>East</t>
        </is>
      </c>
      <c r="D108" s="2" t="inlineStr">
        <is>
          <t>Bob Smith</t>
        </is>
      </c>
      <c r="E108" s="2" t="inlineStr">
        <is>
          <t>Hybrid Commuter</t>
        </is>
      </c>
      <c r="F108" s="2" t="inlineStr">
        <is>
          <t>City</t>
        </is>
      </c>
      <c r="G108" s="2" t="n">
        <v>4</v>
      </c>
      <c r="H108" s="3" t="n">
        <v>650</v>
      </c>
      <c r="I108" s="3">
        <f>G108*H108</f>
        <v/>
      </c>
      <c r="J108" s="3" t="n">
        <v>390</v>
      </c>
      <c r="K108" s="3">
        <f>G108*J108</f>
        <v/>
      </c>
      <c r="L108" s="3">
        <f>I108-K108</f>
        <v/>
      </c>
    </row>
    <row r="109">
      <c r="A109" s="4" t="inlineStr">
        <is>
          <t>ORD-1108</t>
        </is>
      </c>
      <c r="B109" s="4" t="inlineStr">
        <is>
          <t>2024-06-08</t>
        </is>
      </c>
      <c r="C109" s="4" t="inlineStr">
        <is>
          <t>North</t>
        </is>
      </c>
      <c r="D109" s="4" t="inlineStr">
        <is>
          <t>Alice Johnson</t>
        </is>
      </c>
      <c r="E109" s="4" t="inlineStr">
        <is>
          <t>Road Racer X</t>
        </is>
      </c>
      <c r="F109" s="4" t="inlineStr">
        <is>
          <t>Road</t>
        </is>
      </c>
      <c r="G109" s="4" t="n">
        <v>3</v>
      </c>
      <c r="H109" s="5" t="n">
        <v>1200</v>
      </c>
      <c r="I109" s="5">
        <f>G109*H109</f>
        <v/>
      </c>
      <c r="J109" s="5" t="n">
        <v>720</v>
      </c>
      <c r="K109" s="5">
        <f>G109*J109</f>
        <v/>
      </c>
      <c r="L109" s="5">
        <f>I109-K109</f>
        <v/>
      </c>
    </row>
    <row r="110">
      <c r="A110" s="2" t="inlineStr">
        <is>
          <t>ORD-1109</t>
        </is>
      </c>
      <c r="B110" s="2" t="inlineStr">
        <is>
          <t>2024-06-14</t>
        </is>
      </c>
      <c r="C110" s="2" t="inlineStr">
        <is>
          <t>North</t>
        </is>
      </c>
      <c r="D110" s="2" t="inlineStr">
        <is>
          <t>David Brown</t>
        </is>
      </c>
      <c r="E110" s="2" t="inlineStr">
        <is>
          <t>Electric eBike</t>
        </is>
      </c>
      <c r="F110" s="2" t="inlineStr">
        <is>
          <t>Electric</t>
        </is>
      </c>
      <c r="G110" s="2" t="n">
        <v>10</v>
      </c>
      <c r="H110" s="3" t="n">
        <v>2200</v>
      </c>
      <c r="I110" s="3">
        <f>G110*H110</f>
        <v/>
      </c>
      <c r="J110" s="3" t="n">
        <v>1320</v>
      </c>
      <c r="K110" s="3">
        <f>G110*J110</f>
        <v/>
      </c>
      <c r="L110" s="3">
        <f>I110-K110</f>
        <v/>
      </c>
    </row>
    <row r="111">
      <c r="A111" s="4" t="inlineStr">
        <is>
          <t>ORD-1110</t>
        </is>
      </c>
      <c r="B111" s="4" t="inlineStr">
        <is>
          <t>2024-06-16</t>
        </is>
      </c>
      <c r="C111" s="4" t="inlineStr">
        <is>
          <t>South</t>
        </is>
      </c>
      <c r="D111" s="4" t="inlineStr">
        <is>
          <t>David Brown</t>
        </is>
      </c>
      <c r="E111" s="4" t="inlineStr">
        <is>
          <t>BMX Stunt</t>
        </is>
      </c>
      <c r="F111" s="4" t="inlineStr">
        <is>
          <t>BMX</t>
        </is>
      </c>
      <c r="G111" s="4" t="n">
        <v>10</v>
      </c>
      <c r="H111" s="5" t="n">
        <v>320</v>
      </c>
      <c r="I111" s="5">
        <f>G111*H111</f>
        <v/>
      </c>
      <c r="J111" s="5" t="n">
        <v>192</v>
      </c>
      <c r="K111" s="5">
        <f>G111*J111</f>
        <v/>
      </c>
      <c r="L111" s="5">
        <f>I111-K111</f>
        <v/>
      </c>
    </row>
    <row r="112">
      <c r="A112" s="2" t="inlineStr">
        <is>
          <t>ORD-1111</t>
        </is>
      </c>
      <c r="B112" s="2" t="inlineStr">
        <is>
          <t>2024-06-25</t>
        </is>
      </c>
      <c r="C112" s="2" t="inlineStr">
        <is>
          <t>South</t>
        </is>
      </c>
      <c r="D112" s="2" t="inlineStr">
        <is>
          <t>Alice Johnson</t>
        </is>
      </c>
      <c r="E112" s="2" t="inlineStr">
        <is>
          <t>Electric eBike</t>
        </is>
      </c>
      <c r="F112" s="2" t="inlineStr">
        <is>
          <t>Electric</t>
        </is>
      </c>
      <c r="G112" s="2" t="n">
        <v>4</v>
      </c>
      <c r="H112" s="3" t="n">
        <v>2200</v>
      </c>
      <c r="I112" s="3">
        <f>G112*H112</f>
        <v/>
      </c>
      <c r="J112" s="3" t="n">
        <v>1320</v>
      </c>
      <c r="K112" s="3">
        <f>G112*J112</f>
        <v/>
      </c>
      <c r="L112" s="3">
        <f>I112-K112</f>
        <v/>
      </c>
    </row>
    <row r="113">
      <c r="A113" s="4" t="inlineStr">
        <is>
          <t>ORD-1112</t>
        </is>
      </c>
      <c r="B113" s="4" t="inlineStr">
        <is>
          <t>2024-06-06</t>
        </is>
      </c>
      <c r="C113" s="4" t="inlineStr">
        <is>
          <t>West</t>
        </is>
      </c>
      <c r="D113" s="4" t="inlineStr">
        <is>
          <t>Bob Smith</t>
        </is>
      </c>
      <c r="E113" s="4" t="inlineStr">
        <is>
          <t>Hybrid Commuter</t>
        </is>
      </c>
      <c r="F113" s="4" t="inlineStr">
        <is>
          <t>City</t>
        </is>
      </c>
      <c r="G113" s="4" t="n">
        <v>2</v>
      </c>
      <c r="H113" s="5" t="n">
        <v>650</v>
      </c>
      <c r="I113" s="5">
        <f>G113*H113</f>
        <v/>
      </c>
      <c r="J113" s="5" t="n">
        <v>390</v>
      </c>
      <c r="K113" s="5">
        <f>G113*J113</f>
        <v/>
      </c>
      <c r="L113" s="5">
        <f>I113-K113</f>
        <v/>
      </c>
    </row>
    <row r="114">
      <c r="A114" s="2" t="inlineStr">
        <is>
          <t>ORD-1113</t>
        </is>
      </c>
      <c r="B114" s="2" t="inlineStr">
        <is>
          <t>2024-07-15</t>
        </is>
      </c>
      <c r="C114" s="2" t="inlineStr">
        <is>
          <t>South</t>
        </is>
      </c>
      <c r="D114" s="2" t="inlineStr">
        <is>
          <t>Alice Johnson</t>
        </is>
      </c>
      <c r="E114" s="2" t="inlineStr">
        <is>
          <t>Electric eBike</t>
        </is>
      </c>
      <c r="F114" s="2" t="inlineStr">
        <is>
          <t>Electric</t>
        </is>
      </c>
      <c r="G114" s="2" t="n">
        <v>1</v>
      </c>
      <c r="H114" s="3" t="n">
        <v>2200</v>
      </c>
      <c r="I114" s="3">
        <f>G114*H114</f>
        <v/>
      </c>
      <c r="J114" s="3" t="n">
        <v>1320</v>
      </c>
      <c r="K114" s="3">
        <f>G114*J114</f>
        <v/>
      </c>
      <c r="L114" s="3">
        <f>I114-K114</f>
        <v/>
      </c>
    </row>
    <row r="115">
      <c r="A115" s="4" t="inlineStr">
        <is>
          <t>ORD-1114</t>
        </is>
      </c>
      <c r="B115" s="4" t="inlineStr">
        <is>
          <t>2024-07-20</t>
        </is>
      </c>
      <c r="C115" s="4" t="inlineStr">
        <is>
          <t>East</t>
        </is>
      </c>
      <c r="D115" s="4" t="inlineStr">
        <is>
          <t>David Brown</t>
        </is>
      </c>
      <c r="E115" s="4" t="inlineStr">
        <is>
          <t>Road Racer X</t>
        </is>
      </c>
      <c r="F115" s="4" t="inlineStr">
        <is>
          <t>Road</t>
        </is>
      </c>
      <c r="G115" s="4" t="n">
        <v>8</v>
      </c>
      <c r="H115" s="5" t="n">
        <v>1200</v>
      </c>
      <c r="I115" s="5">
        <f>G115*H115</f>
        <v/>
      </c>
      <c r="J115" s="5" t="n">
        <v>720</v>
      </c>
      <c r="K115" s="5">
        <f>G115*J115</f>
        <v/>
      </c>
      <c r="L115" s="5">
        <f>I115-K115</f>
        <v/>
      </c>
    </row>
    <row r="116">
      <c r="A116" s="2" t="inlineStr">
        <is>
          <t>ORD-1115</t>
        </is>
      </c>
      <c r="B116" s="2" t="inlineStr">
        <is>
          <t>2024-07-15</t>
        </is>
      </c>
      <c r="C116" s="2" t="inlineStr">
        <is>
          <t>West</t>
        </is>
      </c>
      <c r="D116" s="2" t="inlineStr">
        <is>
          <t>Eve Davis</t>
        </is>
      </c>
      <c r="E116" s="2" t="inlineStr">
        <is>
          <t>Hybrid Commuter</t>
        </is>
      </c>
      <c r="F116" s="2" t="inlineStr">
        <is>
          <t>City</t>
        </is>
      </c>
      <c r="G116" s="2" t="n">
        <v>9</v>
      </c>
      <c r="H116" s="3" t="n">
        <v>650</v>
      </c>
      <c r="I116" s="3">
        <f>G116*H116</f>
        <v/>
      </c>
      <c r="J116" s="3" t="n">
        <v>390</v>
      </c>
      <c r="K116" s="3">
        <f>G116*J116</f>
        <v/>
      </c>
      <c r="L116" s="3">
        <f>I116-K116</f>
        <v/>
      </c>
    </row>
    <row r="117">
      <c r="A117" s="4" t="inlineStr">
        <is>
          <t>ORD-1116</t>
        </is>
      </c>
      <c r="B117" s="4" t="inlineStr">
        <is>
          <t>2024-07-25</t>
        </is>
      </c>
      <c r="C117" s="4" t="inlineStr">
        <is>
          <t>West</t>
        </is>
      </c>
      <c r="D117" s="4" t="inlineStr">
        <is>
          <t>Carol White</t>
        </is>
      </c>
      <c r="E117" s="4" t="inlineStr">
        <is>
          <t>Road Racer X</t>
        </is>
      </c>
      <c r="F117" s="4" t="inlineStr">
        <is>
          <t>Road</t>
        </is>
      </c>
      <c r="G117" s="4" t="n">
        <v>8</v>
      </c>
      <c r="H117" s="5" t="n">
        <v>1200</v>
      </c>
      <c r="I117" s="5">
        <f>G117*H117</f>
        <v/>
      </c>
      <c r="J117" s="5" t="n">
        <v>720</v>
      </c>
      <c r="K117" s="5">
        <f>G117*J117</f>
        <v/>
      </c>
      <c r="L117" s="5">
        <f>I117-K117</f>
        <v/>
      </c>
    </row>
    <row r="118">
      <c r="A118" s="2" t="inlineStr">
        <is>
          <t>ORD-1117</t>
        </is>
      </c>
      <c r="B118" s="2" t="inlineStr">
        <is>
          <t>2024-07-09</t>
        </is>
      </c>
      <c r="C118" s="2" t="inlineStr">
        <is>
          <t>West</t>
        </is>
      </c>
      <c r="D118" s="2" t="inlineStr">
        <is>
          <t>Bob Smith</t>
        </is>
      </c>
      <c r="E118" s="2" t="inlineStr">
        <is>
          <t>Road Racer X</t>
        </is>
      </c>
      <c r="F118" s="2" t="inlineStr">
        <is>
          <t>Road</t>
        </is>
      </c>
      <c r="G118" s="2" t="n">
        <v>5</v>
      </c>
      <c r="H118" s="3" t="n">
        <v>1200</v>
      </c>
      <c r="I118" s="3">
        <f>G118*H118</f>
        <v/>
      </c>
      <c r="J118" s="3" t="n">
        <v>720</v>
      </c>
      <c r="K118" s="3">
        <f>G118*J118</f>
        <v/>
      </c>
      <c r="L118" s="3">
        <f>I118-K118</f>
        <v/>
      </c>
    </row>
    <row r="119">
      <c r="A119" s="4" t="inlineStr">
        <is>
          <t>ORD-1118</t>
        </is>
      </c>
      <c r="B119" s="4" t="inlineStr">
        <is>
          <t>2024-07-09</t>
        </is>
      </c>
      <c r="C119" s="4" t="inlineStr">
        <is>
          <t>East</t>
        </is>
      </c>
      <c r="D119" s="4" t="inlineStr">
        <is>
          <t>Bob Smith</t>
        </is>
      </c>
      <c r="E119" s="4" t="inlineStr">
        <is>
          <t>Electric eBike</t>
        </is>
      </c>
      <c r="F119" s="4" t="inlineStr">
        <is>
          <t>Electric</t>
        </is>
      </c>
      <c r="G119" s="4" t="n">
        <v>2</v>
      </c>
      <c r="H119" s="5" t="n">
        <v>2200</v>
      </c>
      <c r="I119" s="5">
        <f>G119*H119</f>
        <v/>
      </c>
      <c r="J119" s="5" t="n">
        <v>1320</v>
      </c>
      <c r="K119" s="5">
        <f>G119*J119</f>
        <v/>
      </c>
      <c r="L119" s="5">
        <f>I119-K119</f>
        <v/>
      </c>
    </row>
    <row r="120">
      <c r="A120" s="2" t="inlineStr">
        <is>
          <t>ORD-1119</t>
        </is>
      </c>
      <c r="B120" s="2" t="inlineStr">
        <is>
          <t>2024-07-05</t>
        </is>
      </c>
      <c r="C120" s="2" t="inlineStr">
        <is>
          <t>North</t>
        </is>
      </c>
      <c r="D120" s="2" t="inlineStr">
        <is>
          <t>Bob Smith</t>
        </is>
      </c>
      <c r="E120" s="2" t="inlineStr">
        <is>
          <t>City Cruiser</t>
        </is>
      </c>
      <c r="F120" s="2" t="inlineStr">
        <is>
          <t>City</t>
        </is>
      </c>
      <c r="G120" s="2" t="n">
        <v>6</v>
      </c>
      <c r="H120" s="3" t="n">
        <v>450</v>
      </c>
      <c r="I120" s="3">
        <f>G120*H120</f>
        <v/>
      </c>
      <c r="J120" s="3" t="n">
        <v>270</v>
      </c>
      <c r="K120" s="3">
        <f>G120*J120</f>
        <v/>
      </c>
      <c r="L120" s="3">
        <f>I120-K120</f>
        <v/>
      </c>
    </row>
    <row r="121">
      <c r="A121" s="4" t="inlineStr">
        <is>
          <t>ORD-1120</t>
        </is>
      </c>
      <c r="B121" s="4" t="inlineStr">
        <is>
          <t>2024-07-03</t>
        </is>
      </c>
      <c r="C121" s="4" t="inlineStr">
        <is>
          <t>South</t>
        </is>
      </c>
      <c r="D121" s="4" t="inlineStr">
        <is>
          <t>Bob Smith</t>
        </is>
      </c>
      <c r="E121" s="4" t="inlineStr">
        <is>
          <t>Road Racer X</t>
        </is>
      </c>
      <c r="F121" s="4" t="inlineStr">
        <is>
          <t>Road</t>
        </is>
      </c>
      <c r="G121" s="4" t="n">
        <v>7</v>
      </c>
      <c r="H121" s="5" t="n">
        <v>1200</v>
      </c>
      <c r="I121" s="5">
        <f>G121*H121</f>
        <v/>
      </c>
      <c r="J121" s="5" t="n">
        <v>720</v>
      </c>
      <c r="K121" s="5">
        <f>G121*J121</f>
        <v/>
      </c>
      <c r="L121" s="5">
        <f>I121-K121</f>
        <v/>
      </c>
    </row>
    <row r="122">
      <c r="A122" s="2" t="inlineStr">
        <is>
          <t>ORD-1121</t>
        </is>
      </c>
      <c r="B122" s="2" t="inlineStr">
        <is>
          <t>2024-07-15</t>
        </is>
      </c>
      <c r="C122" s="2" t="inlineStr">
        <is>
          <t>East</t>
        </is>
      </c>
      <c r="D122" s="2" t="inlineStr">
        <is>
          <t>Eve Davis</t>
        </is>
      </c>
      <c r="E122" s="2" t="inlineStr">
        <is>
          <t>Electric eBike</t>
        </is>
      </c>
      <c r="F122" s="2" t="inlineStr">
        <is>
          <t>Electric</t>
        </is>
      </c>
      <c r="G122" s="2" t="n">
        <v>7</v>
      </c>
      <c r="H122" s="3" t="n">
        <v>2200</v>
      </c>
      <c r="I122" s="3">
        <f>G122*H122</f>
        <v/>
      </c>
      <c r="J122" s="3" t="n">
        <v>1320</v>
      </c>
      <c r="K122" s="3">
        <f>G122*J122</f>
        <v/>
      </c>
      <c r="L122" s="3">
        <f>I122-K122</f>
        <v/>
      </c>
    </row>
    <row r="123">
      <c r="A123" s="4" t="inlineStr">
        <is>
          <t>ORD-1122</t>
        </is>
      </c>
      <c r="B123" s="4" t="inlineStr">
        <is>
          <t>2024-07-13</t>
        </is>
      </c>
      <c r="C123" s="4" t="inlineStr">
        <is>
          <t>South</t>
        </is>
      </c>
      <c r="D123" s="4" t="inlineStr">
        <is>
          <t>David Brown</t>
        </is>
      </c>
      <c r="E123" s="4" t="inlineStr">
        <is>
          <t>Electric eBike</t>
        </is>
      </c>
      <c r="F123" s="4" t="inlineStr">
        <is>
          <t>Electric</t>
        </is>
      </c>
      <c r="G123" s="4" t="n">
        <v>1</v>
      </c>
      <c r="H123" s="5" t="n">
        <v>2200</v>
      </c>
      <c r="I123" s="5">
        <f>G123*H123</f>
        <v/>
      </c>
      <c r="J123" s="5" t="n">
        <v>1320</v>
      </c>
      <c r="K123" s="5">
        <f>G123*J123</f>
        <v/>
      </c>
      <c r="L123" s="5">
        <f>I123-K123</f>
        <v/>
      </c>
    </row>
    <row r="124">
      <c r="A124" s="2" t="inlineStr">
        <is>
          <t>ORD-1123</t>
        </is>
      </c>
      <c r="B124" s="2" t="inlineStr">
        <is>
          <t>2024-07-13</t>
        </is>
      </c>
      <c r="C124" s="2" t="inlineStr">
        <is>
          <t>North</t>
        </is>
      </c>
      <c r="D124" s="2" t="inlineStr">
        <is>
          <t>Eve Davis</t>
        </is>
      </c>
      <c r="E124" s="2" t="inlineStr">
        <is>
          <t>Hybrid Commuter</t>
        </is>
      </c>
      <c r="F124" s="2" t="inlineStr">
        <is>
          <t>City</t>
        </is>
      </c>
      <c r="G124" s="2" t="n">
        <v>10</v>
      </c>
      <c r="H124" s="3" t="n">
        <v>650</v>
      </c>
      <c r="I124" s="3">
        <f>G124*H124</f>
        <v/>
      </c>
      <c r="J124" s="3" t="n">
        <v>390</v>
      </c>
      <c r="K124" s="3">
        <f>G124*J124</f>
        <v/>
      </c>
      <c r="L124" s="3">
        <f>I124-K124</f>
        <v/>
      </c>
    </row>
    <row r="125">
      <c r="A125" s="4" t="inlineStr">
        <is>
          <t>ORD-1124</t>
        </is>
      </c>
      <c r="B125" s="4" t="inlineStr">
        <is>
          <t>2024-07-25</t>
        </is>
      </c>
      <c r="C125" s="4" t="inlineStr">
        <is>
          <t>East</t>
        </is>
      </c>
      <c r="D125" s="4" t="inlineStr">
        <is>
          <t>Carol White</t>
        </is>
      </c>
      <c r="E125" s="4" t="inlineStr">
        <is>
          <t>Electric eBike</t>
        </is>
      </c>
      <c r="F125" s="4" t="inlineStr">
        <is>
          <t>Electric</t>
        </is>
      </c>
      <c r="G125" s="4" t="n">
        <v>1</v>
      </c>
      <c r="H125" s="5" t="n">
        <v>2200</v>
      </c>
      <c r="I125" s="5">
        <f>G125*H125</f>
        <v/>
      </c>
      <c r="J125" s="5" t="n">
        <v>1320</v>
      </c>
      <c r="K125" s="5">
        <f>G125*J125</f>
        <v/>
      </c>
      <c r="L125" s="5">
        <f>I125-K125</f>
        <v/>
      </c>
    </row>
    <row r="126">
      <c r="A126" s="2" t="inlineStr">
        <is>
          <t>ORD-1125</t>
        </is>
      </c>
      <c r="B126" s="2" t="inlineStr">
        <is>
          <t>2024-07-08</t>
        </is>
      </c>
      <c r="C126" s="2" t="inlineStr">
        <is>
          <t>South</t>
        </is>
      </c>
      <c r="D126" s="2" t="inlineStr">
        <is>
          <t>David Brown</t>
        </is>
      </c>
      <c r="E126" s="2" t="inlineStr">
        <is>
          <t>Electric eBike</t>
        </is>
      </c>
      <c r="F126" s="2" t="inlineStr">
        <is>
          <t>Electric</t>
        </is>
      </c>
      <c r="G126" s="2" t="n">
        <v>7</v>
      </c>
      <c r="H126" s="3" t="n">
        <v>2200</v>
      </c>
      <c r="I126" s="3">
        <f>G126*H126</f>
        <v/>
      </c>
      <c r="J126" s="3" t="n">
        <v>1320</v>
      </c>
      <c r="K126" s="3">
        <f>G126*J126</f>
        <v/>
      </c>
      <c r="L126" s="3">
        <f>I126-K126</f>
        <v/>
      </c>
    </row>
    <row r="127">
      <c r="A127" s="4" t="inlineStr">
        <is>
          <t>ORD-1126</t>
        </is>
      </c>
      <c r="B127" s="4" t="inlineStr">
        <is>
          <t>2024-07-13</t>
        </is>
      </c>
      <c r="C127" s="4" t="inlineStr">
        <is>
          <t>West</t>
        </is>
      </c>
      <c r="D127" s="4" t="inlineStr">
        <is>
          <t>Alice Johnson</t>
        </is>
      </c>
      <c r="E127" s="4" t="inlineStr">
        <is>
          <t>City Cruiser</t>
        </is>
      </c>
      <c r="F127" s="4" t="inlineStr">
        <is>
          <t>City</t>
        </is>
      </c>
      <c r="G127" s="4" t="n">
        <v>7</v>
      </c>
      <c r="H127" s="5" t="n">
        <v>450</v>
      </c>
      <c r="I127" s="5">
        <f>G127*H127</f>
        <v/>
      </c>
      <c r="J127" s="5" t="n">
        <v>270</v>
      </c>
      <c r="K127" s="5">
        <f>G127*J127</f>
        <v/>
      </c>
      <c r="L127" s="5">
        <f>I127-K127</f>
        <v/>
      </c>
    </row>
    <row r="128">
      <c r="A128" s="2" t="inlineStr">
        <is>
          <t>ORD-1127</t>
        </is>
      </c>
      <c r="B128" s="2" t="inlineStr">
        <is>
          <t>2024-07-05</t>
        </is>
      </c>
      <c r="C128" s="2" t="inlineStr">
        <is>
          <t>South</t>
        </is>
      </c>
      <c r="D128" s="2" t="inlineStr">
        <is>
          <t>David Brown</t>
        </is>
      </c>
      <c r="E128" s="2" t="inlineStr">
        <is>
          <t>City Cruiser</t>
        </is>
      </c>
      <c r="F128" s="2" t="inlineStr">
        <is>
          <t>City</t>
        </is>
      </c>
      <c r="G128" s="2" t="n">
        <v>7</v>
      </c>
      <c r="H128" s="3" t="n">
        <v>450</v>
      </c>
      <c r="I128" s="3">
        <f>G128*H128</f>
        <v/>
      </c>
      <c r="J128" s="3" t="n">
        <v>270</v>
      </c>
      <c r="K128" s="3">
        <f>G128*J128</f>
        <v/>
      </c>
      <c r="L128" s="3">
        <f>I128-K128</f>
        <v/>
      </c>
    </row>
    <row r="129">
      <c r="A129" s="4" t="inlineStr">
        <is>
          <t>ORD-1128</t>
        </is>
      </c>
      <c r="B129" s="4" t="inlineStr">
        <is>
          <t>2024-07-19</t>
        </is>
      </c>
      <c r="C129" s="4" t="inlineStr">
        <is>
          <t>North</t>
        </is>
      </c>
      <c r="D129" s="4" t="inlineStr">
        <is>
          <t>David Brown</t>
        </is>
      </c>
      <c r="E129" s="4" t="inlineStr">
        <is>
          <t>Kids Rocket</t>
        </is>
      </c>
      <c r="F129" s="4" t="inlineStr">
        <is>
          <t>Kids</t>
        </is>
      </c>
      <c r="G129" s="4" t="n">
        <v>9</v>
      </c>
      <c r="H129" s="5" t="n">
        <v>180</v>
      </c>
      <c r="I129" s="5">
        <f>G129*H129</f>
        <v/>
      </c>
      <c r="J129" s="5" t="n">
        <v>108</v>
      </c>
      <c r="K129" s="5">
        <f>G129*J129</f>
        <v/>
      </c>
      <c r="L129" s="5">
        <f>I129-K129</f>
        <v/>
      </c>
    </row>
    <row r="130">
      <c r="A130" s="2" t="inlineStr">
        <is>
          <t>ORD-1129</t>
        </is>
      </c>
      <c r="B130" s="2" t="inlineStr">
        <is>
          <t>2024-07-05</t>
        </is>
      </c>
      <c r="C130" s="2" t="inlineStr">
        <is>
          <t>North</t>
        </is>
      </c>
      <c r="D130" s="2" t="inlineStr">
        <is>
          <t>David Brown</t>
        </is>
      </c>
      <c r="E130" s="2" t="inlineStr">
        <is>
          <t>Kids Rocket</t>
        </is>
      </c>
      <c r="F130" s="2" t="inlineStr">
        <is>
          <t>Kids</t>
        </is>
      </c>
      <c r="G130" s="2" t="n">
        <v>1</v>
      </c>
      <c r="H130" s="3" t="n">
        <v>180</v>
      </c>
      <c r="I130" s="3">
        <f>G130*H130</f>
        <v/>
      </c>
      <c r="J130" s="3" t="n">
        <v>108</v>
      </c>
      <c r="K130" s="3">
        <f>G130*J130</f>
        <v/>
      </c>
      <c r="L130" s="3">
        <f>I130-K130</f>
        <v/>
      </c>
    </row>
    <row r="131">
      <c r="A131" s="4" t="inlineStr">
        <is>
          <t>ORD-1130</t>
        </is>
      </c>
      <c r="B131" s="4" t="inlineStr">
        <is>
          <t>2024-07-09</t>
        </is>
      </c>
      <c r="C131" s="4" t="inlineStr">
        <is>
          <t>South</t>
        </is>
      </c>
      <c r="D131" s="4" t="inlineStr">
        <is>
          <t>Alice Johnson</t>
        </is>
      </c>
      <c r="E131" s="4" t="inlineStr">
        <is>
          <t>Hybrid Commuter</t>
        </is>
      </c>
      <c r="F131" s="4" t="inlineStr">
        <is>
          <t>City</t>
        </is>
      </c>
      <c r="G131" s="4" t="n">
        <v>8</v>
      </c>
      <c r="H131" s="5" t="n">
        <v>650</v>
      </c>
      <c r="I131" s="5">
        <f>G131*H131</f>
        <v/>
      </c>
      <c r="J131" s="5" t="n">
        <v>390</v>
      </c>
      <c r="K131" s="5">
        <f>G131*J131</f>
        <v/>
      </c>
      <c r="L131" s="5">
        <f>I131-K131</f>
        <v/>
      </c>
    </row>
    <row r="132">
      <c r="A132" s="2" t="inlineStr">
        <is>
          <t>ORD-1131</t>
        </is>
      </c>
      <c r="B132" s="2" t="inlineStr">
        <is>
          <t>2024-07-11</t>
        </is>
      </c>
      <c r="C132" s="2" t="inlineStr">
        <is>
          <t>South</t>
        </is>
      </c>
      <c r="D132" s="2" t="inlineStr">
        <is>
          <t>David Brown</t>
        </is>
      </c>
      <c r="E132" s="2" t="inlineStr">
        <is>
          <t>Electric eBike</t>
        </is>
      </c>
      <c r="F132" s="2" t="inlineStr">
        <is>
          <t>Electric</t>
        </is>
      </c>
      <c r="G132" s="2" t="n">
        <v>6</v>
      </c>
      <c r="H132" s="3" t="n">
        <v>2200</v>
      </c>
      <c r="I132" s="3">
        <f>G132*H132</f>
        <v/>
      </c>
      <c r="J132" s="3" t="n">
        <v>1320</v>
      </c>
      <c r="K132" s="3">
        <f>G132*J132</f>
        <v/>
      </c>
      <c r="L132" s="3">
        <f>I132-K132</f>
        <v/>
      </c>
    </row>
    <row r="133">
      <c r="A133" s="4" t="inlineStr">
        <is>
          <t>ORD-1132</t>
        </is>
      </c>
      <c r="B133" s="4" t="inlineStr">
        <is>
          <t>2024-07-09</t>
        </is>
      </c>
      <c r="C133" s="4" t="inlineStr">
        <is>
          <t>East</t>
        </is>
      </c>
      <c r="D133" s="4" t="inlineStr">
        <is>
          <t>David Brown</t>
        </is>
      </c>
      <c r="E133" s="4" t="inlineStr">
        <is>
          <t>City Cruiser</t>
        </is>
      </c>
      <c r="F133" s="4" t="inlineStr">
        <is>
          <t>City</t>
        </is>
      </c>
      <c r="G133" s="4" t="n">
        <v>7</v>
      </c>
      <c r="H133" s="5" t="n">
        <v>450</v>
      </c>
      <c r="I133" s="5">
        <f>G133*H133</f>
        <v/>
      </c>
      <c r="J133" s="5" t="n">
        <v>270</v>
      </c>
      <c r="K133" s="5">
        <f>G133*J133</f>
        <v/>
      </c>
      <c r="L133" s="5">
        <f>I133-K133</f>
        <v/>
      </c>
    </row>
    <row r="134">
      <c r="A134" s="2" t="inlineStr">
        <is>
          <t>ORD-1133</t>
        </is>
      </c>
      <c r="B134" s="2" t="inlineStr">
        <is>
          <t>2024-07-24</t>
        </is>
      </c>
      <c r="C134" s="2" t="inlineStr">
        <is>
          <t>West</t>
        </is>
      </c>
      <c r="D134" s="2" t="inlineStr">
        <is>
          <t>Alice Johnson</t>
        </is>
      </c>
      <c r="E134" s="2" t="inlineStr">
        <is>
          <t>Hybrid Commuter</t>
        </is>
      </c>
      <c r="F134" s="2" t="inlineStr">
        <is>
          <t>City</t>
        </is>
      </c>
      <c r="G134" s="2" t="n">
        <v>2</v>
      </c>
      <c r="H134" s="3" t="n">
        <v>650</v>
      </c>
      <c r="I134" s="3">
        <f>G134*H134</f>
        <v/>
      </c>
      <c r="J134" s="3" t="n">
        <v>390</v>
      </c>
      <c r="K134" s="3">
        <f>G134*J134</f>
        <v/>
      </c>
      <c r="L134" s="3">
        <f>I134-K134</f>
        <v/>
      </c>
    </row>
    <row r="135">
      <c r="A135" s="4" t="inlineStr">
        <is>
          <t>ORD-1134</t>
        </is>
      </c>
      <c r="B135" s="4" t="inlineStr">
        <is>
          <t>2024-07-21</t>
        </is>
      </c>
      <c r="C135" s="4" t="inlineStr">
        <is>
          <t>East</t>
        </is>
      </c>
      <c r="D135" s="4" t="inlineStr">
        <is>
          <t>Bob Smith</t>
        </is>
      </c>
      <c r="E135" s="4" t="inlineStr">
        <is>
          <t>Kids Rocket</t>
        </is>
      </c>
      <c r="F135" s="4" t="inlineStr">
        <is>
          <t>Kids</t>
        </is>
      </c>
      <c r="G135" s="4" t="n">
        <v>1</v>
      </c>
      <c r="H135" s="5" t="n">
        <v>180</v>
      </c>
      <c r="I135" s="5">
        <f>G135*H135</f>
        <v/>
      </c>
      <c r="J135" s="5" t="n">
        <v>108</v>
      </c>
      <c r="K135" s="5">
        <f>G135*J135</f>
        <v/>
      </c>
      <c r="L135" s="5">
        <f>I135-K135</f>
        <v/>
      </c>
    </row>
    <row r="136">
      <c r="A136" s="2" t="inlineStr">
        <is>
          <t>ORD-1135</t>
        </is>
      </c>
      <c r="B136" s="2" t="inlineStr">
        <is>
          <t>2024-07-07</t>
        </is>
      </c>
      <c r="C136" s="2" t="inlineStr">
        <is>
          <t>North</t>
        </is>
      </c>
      <c r="D136" s="2" t="inlineStr">
        <is>
          <t>Bob Smith</t>
        </is>
      </c>
      <c r="E136" s="2" t="inlineStr">
        <is>
          <t>Mountain Bike Pro</t>
        </is>
      </c>
      <c r="F136" s="2" t="inlineStr">
        <is>
          <t>Mountain</t>
        </is>
      </c>
      <c r="G136" s="2" t="n">
        <v>1</v>
      </c>
      <c r="H136" s="3" t="n">
        <v>850</v>
      </c>
      <c r="I136" s="3">
        <f>G136*H136</f>
        <v/>
      </c>
      <c r="J136" s="3" t="n">
        <v>510</v>
      </c>
      <c r="K136" s="3">
        <f>G136*J136</f>
        <v/>
      </c>
      <c r="L136" s="3">
        <f>I136-K136</f>
        <v/>
      </c>
    </row>
    <row r="137">
      <c r="A137" s="4" t="inlineStr">
        <is>
          <t>ORD-1136</t>
        </is>
      </c>
      <c r="B137" s="4" t="inlineStr">
        <is>
          <t>2024-08-16</t>
        </is>
      </c>
      <c r="C137" s="4" t="inlineStr">
        <is>
          <t>South</t>
        </is>
      </c>
      <c r="D137" s="4" t="inlineStr">
        <is>
          <t>Bob Smith</t>
        </is>
      </c>
      <c r="E137" s="4" t="inlineStr">
        <is>
          <t>Kids Rocket</t>
        </is>
      </c>
      <c r="F137" s="4" t="inlineStr">
        <is>
          <t>Kids</t>
        </is>
      </c>
      <c r="G137" s="4" t="n">
        <v>3</v>
      </c>
      <c r="H137" s="5" t="n">
        <v>180</v>
      </c>
      <c r="I137" s="5">
        <f>G137*H137</f>
        <v/>
      </c>
      <c r="J137" s="5" t="n">
        <v>108</v>
      </c>
      <c r="K137" s="5">
        <f>G137*J137</f>
        <v/>
      </c>
      <c r="L137" s="5">
        <f>I137-K137</f>
        <v/>
      </c>
    </row>
    <row r="138">
      <c r="A138" s="2" t="inlineStr">
        <is>
          <t>ORD-1137</t>
        </is>
      </c>
      <c r="B138" s="2" t="inlineStr">
        <is>
          <t>2024-08-23</t>
        </is>
      </c>
      <c r="C138" s="2" t="inlineStr">
        <is>
          <t>South</t>
        </is>
      </c>
      <c r="D138" s="2" t="inlineStr">
        <is>
          <t>David Brown</t>
        </is>
      </c>
      <c r="E138" s="2" t="inlineStr">
        <is>
          <t>BMX Stunt</t>
        </is>
      </c>
      <c r="F138" s="2" t="inlineStr">
        <is>
          <t>BMX</t>
        </is>
      </c>
      <c r="G138" s="2" t="n">
        <v>2</v>
      </c>
      <c r="H138" s="3" t="n">
        <v>320</v>
      </c>
      <c r="I138" s="3">
        <f>G138*H138</f>
        <v/>
      </c>
      <c r="J138" s="3" t="n">
        <v>192</v>
      </c>
      <c r="K138" s="3">
        <f>G138*J138</f>
        <v/>
      </c>
      <c r="L138" s="3">
        <f>I138-K138</f>
        <v/>
      </c>
    </row>
    <row r="139">
      <c r="A139" s="4" t="inlineStr">
        <is>
          <t>ORD-1138</t>
        </is>
      </c>
      <c r="B139" s="4" t="inlineStr">
        <is>
          <t>2024-08-20</t>
        </is>
      </c>
      <c r="C139" s="4" t="inlineStr">
        <is>
          <t>South</t>
        </is>
      </c>
      <c r="D139" s="4" t="inlineStr">
        <is>
          <t>Eve Davis</t>
        </is>
      </c>
      <c r="E139" s="4" t="inlineStr">
        <is>
          <t>City Cruiser</t>
        </is>
      </c>
      <c r="F139" s="4" t="inlineStr">
        <is>
          <t>City</t>
        </is>
      </c>
      <c r="G139" s="4" t="n">
        <v>6</v>
      </c>
      <c r="H139" s="5" t="n">
        <v>450</v>
      </c>
      <c r="I139" s="5">
        <f>G139*H139</f>
        <v/>
      </c>
      <c r="J139" s="5" t="n">
        <v>270</v>
      </c>
      <c r="K139" s="5">
        <f>G139*J139</f>
        <v/>
      </c>
      <c r="L139" s="5">
        <f>I139-K139</f>
        <v/>
      </c>
    </row>
    <row r="140">
      <c r="A140" s="2" t="inlineStr">
        <is>
          <t>ORD-1139</t>
        </is>
      </c>
      <c r="B140" s="2" t="inlineStr">
        <is>
          <t>2024-08-04</t>
        </is>
      </c>
      <c r="C140" s="2" t="inlineStr">
        <is>
          <t>South</t>
        </is>
      </c>
      <c r="D140" s="2" t="inlineStr">
        <is>
          <t>Carol White</t>
        </is>
      </c>
      <c r="E140" s="2" t="inlineStr">
        <is>
          <t>BMX Stunt</t>
        </is>
      </c>
      <c r="F140" s="2" t="inlineStr">
        <is>
          <t>BMX</t>
        </is>
      </c>
      <c r="G140" s="2" t="n">
        <v>2</v>
      </c>
      <c r="H140" s="3" t="n">
        <v>320</v>
      </c>
      <c r="I140" s="3">
        <f>G140*H140</f>
        <v/>
      </c>
      <c r="J140" s="3" t="n">
        <v>192</v>
      </c>
      <c r="K140" s="3">
        <f>G140*J140</f>
        <v/>
      </c>
      <c r="L140" s="3">
        <f>I140-K140</f>
        <v/>
      </c>
    </row>
    <row r="141">
      <c r="A141" s="4" t="inlineStr">
        <is>
          <t>ORD-1140</t>
        </is>
      </c>
      <c r="B141" s="4" t="inlineStr">
        <is>
          <t>2024-08-22</t>
        </is>
      </c>
      <c r="C141" s="4" t="inlineStr">
        <is>
          <t>East</t>
        </is>
      </c>
      <c r="D141" s="4" t="inlineStr">
        <is>
          <t>Eve Davis</t>
        </is>
      </c>
      <c r="E141" s="4" t="inlineStr">
        <is>
          <t>Kids Rocket</t>
        </is>
      </c>
      <c r="F141" s="4" t="inlineStr">
        <is>
          <t>Kids</t>
        </is>
      </c>
      <c r="G141" s="4" t="n">
        <v>1</v>
      </c>
      <c r="H141" s="5" t="n">
        <v>180</v>
      </c>
      <c r="I141" s="5">
        <f>G141*H141</f>
        <v/>
      </c>
      <c r="J141" s="5" t="n">
        <v>108</v>
      </c>
      <c r="K141" s="5">
        <f>G141*J141</f>
        <v/>
      </c>
      <c r="L141" s="5">
        <f>I141-K141</f>
        <v/>
      </c>
    </row>
    <row r="142">
      <c r="A142" s="2" t="inlineStr">
        <is>
          <t>ORD-1141</t>
        </is>
      </c>
      <c r="B142" s="2" t="inlineStr">
        <is>
          <t>2024-08-19</t>
        </is>
      </c>
      <c r="C142" s="2" t="inlineStr">
        <is>
          <t>South</t>
        </is>
      </c>
      <c r="D142" s="2" t="inlineStr">
        <is>
          <t>Alice Johnson</t>
        </is>
      </c>
      <c r="E142" s="2" t="inlineStr">
        <is>
          <t>Electric eBike</t>
        </is>
      </c>
      <c r="F142" s="2" t="inlineStr">
        <is>
          <t>Electric</t>
        </is>
      </c>
      <c r="G142" s="2" t="n">
        <v>7</v>
      </c>
      <c r="H142" s="3" t="n">
        <v>2200</v>
      </c>
      <c r="I142" s="3">
        <f>G142*H142</f>
        <v/>
      </c>
      <c r="J142" s="3" t="n">
        <v>1320</v>
      </c>
      <c r="K142" s="3">
        <f>G142*J142</f>
        <v/>
      </c>
      <c r="L142" s="3">
        <f>I142-K142</f>
        <v/>
      </c>
    </row>
    <row r="143">
      <c r="A143" s="4" t="inlineStr">
        <is>
          <t>ORD-1142</t>
        </is>
      </c>
      <c r="B143" s="4" t="inlineStr">
        <is>
          <t>2024-08-28</t>
        </is>
      </c>
      <c r="C143" s="4" t="inlineStr">
        <is>
          <t>North</t>
        </is>
      </c>
      <c r="D143" s="4" t="inlineStr">
        <is>
          <t>Carol White</t>
        </is>
      </c>
      <c r="E143" s="4" t="inlineStr">
        <is>
          <t>BMX Stunt</t>
        </is>
      </c>
      <c r="F143" s="4" t="inlineStr">
        <is>
          <t>BMX</t>
        </is>
      </c>
      <c r="G143" s="4" t="n">
        <v>4</v>
      </c>
      <c r="H143" s="5" t="n">
        <v>320</v>
      </c>
      <c r="I143" s="5">
        <f>G143*H143</f>
        <v/>
      </c>
      <c r="J143" s="5" t="n">
        <v>192</v>
      </c>
      <c r="K143" s="5">
        <f>G143*J143</f>
        <v/>
      </c>
      <c r="L143" s="5">
        <f>I143-K143</f>
        <v/>
      </c>
    </row>
    <row r="144">
      <c r="A144" s="2" t="inlineStr">
        <is>
          <t>ORD-1143</t>
        </is>
      </c>
      <c r="B144" s="2" t="inlineStr">
        <is>
          <t>2024-08-26</t>
        </is>
      </c>
      <c r="C144" s="2" t="inlineStr">
        <is>
          <t>North</t>
        </is>
      </c>
      <c r="D144" s="2" t="inlineStr">
        <is>
          <t>Eve Davis</t>
        </is>
      </c>
      <c r="E144" s="2" t="inlineStr">
        <is>
          <t>BMX Stunt</t>
        </is>
      </c>
      <c r="F144" s="2" t="inlineStr">
        <is>
          <t>BMX</t>
        </is>
      </c>
      <c r="G144" s="2" t="n">
        <v>10</v>
      </c>
      <c r="H144" s="3" t="n">
        <v>320</v>
      </c>
      <c r="I144" s="3">
        <f>G144*H144</f>
        <v/>
      </c>
      <c r="J144" s="3" t="n">
        <v>192</v>
      </c>
      <c r="K144" s="3">
        <f>G144*J144</f>
        <v/>
      </c>
      <c r="L144" s="3">
        <f>I144-K144</f>
        <v/>
      </c>
    </row>
    <row r="145">
      <c r="A145" s="4" t="inlineStr">
        <is>
          <t>ORD-1144</t>
        </is>
      </c>
      <c r="B145" s="4" t="inlineStr">
        <is>
          <t>2024-08-03</t>
        </is>
      </c>
      <c r="C145" s="4" t="inlineStr">
        <is>
          <t>West</t>
        </is>
      </c>
      <c r="D145" s="4" t="inlineStr">
        <is>
          <t>Carol White</t>
        </is>
      </c>
      <c r="E145" s="4" t="inlineStr">
        <is>
          <t>Mountain Bike Pro</t>
        </is>
      </c>
      <c r="F145" s="4" t="inlineStr">
        <is>
          <t>Mountain</t>
        </is>
      </c>
      <c r="G145" s="4" t="n">
        <v>6</v>
      </c>
      <c r="H145" s="5" t="n">
        <v>850</v>
      </c>
      <c r="I145" s="5">
        <f>G145*H145</f>
        <v/>
      </c>
      <c r="J145" s="5" t="n">
        <v>510</v>
      </c>
      <c r="K145" s="5">
        <f>G145*J145</f>
        <v/>
      </c>
      <c r="L145" s="5">
        <f>I145-K145</f>
        <v/>
      </c>
    </row>
    <row r="146">
      <c r="A146" s="2" t="inlineStr">
        <is>
          <t>ORD-1145</t>
        </is>
      </c>
      <c r="B146" s="2" t="inlineStr">
        <is>
          <t>2024-08-27</t>
        </is>
      </c>
      <c r="C146" s="2" t="inlineStr">
        <is>
          <t>North</t>
        </is>
      </c>
      <c r="D146" s="2" t="inlineStr">
        <is>
          <t>David Brown</t>
        </is>
      </c>
      <c r="E146" s="2" t="inlineStr">
        <is>
          <t>Kids Rocket</t>
        </is>
      </c>
      <c r="F146" s="2" t="inlineStr">
        <is>
          <t>Kids</t>
        </is>
      </c>
      <c r="G146" s="2" t="n">
        <v>6</v>
      </c>
      <c r="H146" s="3" t="n">
        <v>180</v>
      </c>
      <c r="I146" s="3">
        <f>G146*H146</f>
        <v/>
      </c>
      <c r="J146" s="3" t="n">
        <v>108</v>
      </c>
      <c r="K146" s="3">
        <f>G146*J146</f>
        <v/>
      </c>
      <c r="L146" s="3">
        <f>I146-K146</f>
        <v/>
      </c>
    </row>
    <row r="147">
      <c r="A147" s="4" t="inlineStr">
        <is>
          <t>ORD-1146</t>
        </is>
      </c>
      <c r="B147" s="4" t="inlineStr">
        <is>
          <t>2024-08-21</t>
        </is>
      </c>
      <c r="C147" s="4" t="inlineStr">
        <is>
          <t>West</t>
        </is>
      </c>
      <c r="D147" s="4" t="inlineStr">
        <is>
          <t>Carol White</t>
        </is>
      </c>
      <c r="E147" s="4" t="inlineStr">
        <is>
          <t>Electric eBike</t>
        </is>
      </c>
      <c r="F147" s="4" t="inlineStr">
        <is>
          <t>Electric</t>
        </is>
      </c>
      <c r="G147" s="4" t="n">
        <v>2</v>
      </c>
      <c r="H147" s="5" t="n">
        <v>2200</v>
      </c>
      <c r="I147" s="5">
        <f>G147*H147</f>
        <v/>
      </c>
      <c r="J147" s="5" t="n">
        <v>1320</v>
      </c>
      <c r="K147" s="5">
        <f>G147*J147</f>
        <v/>
      </c>
      <c r="L147" s="5">
        <f>I147-K147</f>
        <v/>
      </c>
    </row>
    <row r="148">
      <c r="A148" s="2" t="inlineStr">
        <is>
          <t>ORD-1147</t>
        </is>
      </c>
      <c r="B148" s="2" t="inlineStr">
        <is>
          <t>2024-08-06</t>
        </is>
      </c>
      <c r="C148" s="2" t="inlineStr">
        <is>
          <t>South</t>
        </is>
      </c>
      <c r="D148" s="2" t="inlineStr">
        <is>
          <t>David Brown</t>
        </is>
      </c>
      <c r="E148" s="2" t="inlineStr">
        <is>
          <t>Hybrid Commuter</t>
        </is>
      </c>
      <c r="F148" s="2" t="inlineStr">
        <is>
          <t>City</t>
        </is>
      </c>
      <c r="G148" s="2" t="n">
        <v>8</v>
      </c>
      <c r="H148" s="3" t="n">
        <v>650</v>
      </c>
      <c r="I148" s="3">
        <f>G148*H148</f>
        <v/>
      </c>
      <c r="J148" s="3" t="n">
        <v>390</v>
      </c>
      <c r="K148" s="3">
        <f>G148*J148</f>
        <v/>
      </c>
      <c r="L148" s="3">
        <f>I148-K148</f>
        <v/>
      </c>
    </row>
    <row r="149">
      <c r="A149" s="4" t="inlineStr">
        <is>
          <t>ORD-1148</t>
        </is>
      </c>
      <c r="B149" s="4" t="inlineStr">
        <is>
          <t>2024-08-26</t>
        </is>
      </c>
      <c r="C149" s="4" t="inlineStr">
        <is>
          <t>East</t>
        </is>
      </c>
      <c r="D149" s="4" t="inlineStr">
        <is>
          <t>Eve Davis</t>
        </is>
      </c>
      <c r="E149" s="4" t="inlineStr">
        <is>
          <t>BMX Stunt</t>
        </is>
      </c>
      <c r="F149" s="4" t="inlineStr">
        <is>
          <t>BMX</t>
        </is>
      </c>
      <c r="G149" s="4" t="n">
        <v>9</v>
      </c>
      <c r="H149" s="5" t="n">
        <v>320</v>
      </c>
      <c r="I149" s="5">
        <f>G149*H149</f>
        <v/>
      </c>
      <c r="J149" s="5" t="n">
        <v>192</v>
      </c>
      <c r="K149" s="5">
        <f>G149*J149</f>
        <v/>
      </c>
      <c r="L149" s="5">
        <f>I149-K149</f>
        <v/>
      </c>
    </row>
    <row r="150">
      <c r="A150" s="2" t="inlineStr">
        <is>
          <t>ORD-1149</t>
        </is>
      </c>
      <c r="B150" s="2" t="inlineStr">
        <is>
          <t>2024-08-27</t>
        </is>
      </c>
      <c r="C150" s="2" t="inlineStr">
        <is>
          <t>West</t>
        </is>
      </c>
      <c r="D150" s="2" t="inlineStr">
        <is>
          <t>David Brown</t>
        </is>
      </c>
      <c r="E150" s="2" t="inlineStr">
        <is>
          <t>Kids Rocket</t>
        </is>
      </c>
      <c r="F150" s="2" t="inlineStr">
        <is>
          <t>Kids</t>
        </is>
      </c>
      <c r="G150" s="2" t="n">
        <v>8</v>
      </c>
      <c r="H150" s="3" t="n">
        <v>180</v>
      </c>
      <c r="I150" s="3">
        <f>G150*H150</f>
        <v/>
      </c>
      <c r="J150" s="3" t="n">
        <v>108</v>
      </c>
      <c r="K150" s="3">
        <f>G150*J150</f>
        <v/>
      </c>
      <c r="L150" s="3">
        <f>I150-K150</f>
        <v/>
      </c>
    </row>
    <row r="151">
      <c r="A151" s="4" t="inlineStr">
        <is>
          <t>ORD-1150</t>
        </is>
      </c>
      <c r="B151" s="4" t="inlineStr">
        <is>
          <t>2024-08-28</t>
        </is>
      </c>
      <c r="C151" s="4" t="inlineStr">
        <is>
          <t>East</t>
        </is>
      </c>
      <c r="D151" s="4" t="inlineStr">
        <is>
          <t>Carol White</t>
        </is>
      </c>
      <c r="E151" s="4" t="inlineStr">
        <is>
          <t>BMX Stunt</t>
        </is>
      </c>
      <c r="F151" s="4" t="inlineStr">
        <is>
          <t>BMX</t>
        </is>
      </c>
      <c r="G151" s="4" t="n">
        <v>10</v>
      </c>
      <c r="H151" s="5" t="n">
        <v>320</v>
      </c>
      <c r="I151" s="5">
        <f>G151*H151</f>
        <v/>
      </c>
      <c r="J151" s="5" t="n">
        <v>192</v>
      </c>
      <c r="K151" s="5">
        <f>G151*J151</f>
        <v/>
      </c>
      <c r="L151" s="5">
        <f>I151-K151</f>
        <v/>
      </c>
    </row>
    <row r="152">
      <c r="A152" s="2" t="inlineStr">
        <is>
          <t>ORD-1151</t>
        </is>
      </c>
      <c r="B152" s="2" t="inlineStr">
        <is>
          <t>2024-09-08</t>
        </is>
      </c>
      <c r="C152" s="2" t="inlineStr">
        <is>
          <t>East</t>
        </is>
      </c>
      <c r="D152" s="2" t="inlineStr">
        <is>
          <t>David Brown</t>
        </is>
      </c>
      <c r="E152" s="2" t="inlineStr">
        <is>
          <t>Hybrid Commuter</t>
        </is>
      </c>
      <c r="F152" s="2" t="inlineStr">
        <is>
          <t>City</t>
        </is>
      </c>
      <c r="G152" s="2" t="n">
        <v>2</v>
      </c>
      <c r="H152" s="3" t="n">
        <v>650</v>
      </c>
      <c r="I152" s="3">
        <f>G152*H152</f>
        <v/>
      </c>
      <c r="J152" s="3" t="n">
        <v>390</v>
      </c>
      <c r="K152" s="3">
        <f>G152*J152</f>
        <v/>
      </c>
      <c r="L152" s="3">
        <f>I152-K152</f>
        <v/>
      </c>
    </row>
    <row r="153">
      <c r="A153" s="4" t="inlineStr">
        <is>
          <t>ORD-1152</t>
        </is>
      </c>
      <c r="B153" s="4" t="inlineStr">
        <is>
          <t>2024-09-01</t>
        </is>
      </c>
      <c r="C153" s="4" t="inlineStr">
        <is>
          <t>West</t>
        </is>
      </c>
      <c r="D153" s="4" t="inlineStr">
        <is>
          <t>Carol White</t>
        </is>
      </c>
      <c r="E153" s="4" t="inlineStr">
        <is>
          <t>Hybrid Commuter</t>
        </is>
      </c>
      <c r="F153" s="4" t="inlineStr">
        <is>
          <t>City</t>
        </is>
      </c>
      <c r="G153" s="4" t="n">
        <v>8</v>
      </c>
      <c r="H153" s="5" t="n">
        <v>650</v>
      </c>
      <c r="I153" s="5">
        <f>G153*H153</f>
        <v/>
      </c>
      <c r="J153" s="5" t="n">
        <v>390</v>
      </c>
      <c r="K153" s="5">
        <f>G153*J153</f>
        <v/>
      </c>
      <c r="L153" s="5">
        <f>I153-K153</f>
        <v/>
      </c>
    </row>
    <row r="154">
      <c r="A154" s="2" t="inlineStr">
        <is>
          <t>ORD-1153</t>
        </is>
      </c>
      <c r="B154" s="2" t="inlineStr">
        <is>
          <t>2024-09-07</t>
        </is>
      </c>
      <c r="C154" s="2" t="inlineStr">
        <is>
          <t>South</t>
        </is>
      </c>
      <c r="D154" s="2" t="inlineStr">
        <is>
          <t>David Brown</t>
        </is>
      </c>
      <c r="E154" s="2" t="inlineStr">
        <is>
          <t>Electric eBike</t>
        </is>
      </c>
      <c r="F154" s="2" t="inlineStr">
        <is>
          <t>Electric</t>
        </is>
      </c>
      <c r="G154" s="2" t="n">
        <v>6</v>
      </c>
      <c r="H154" s="3" t="n">
        <v>2200</v>
      </c>
      <c r="I154" s="3">
        <f>G154*H154</f>
        <v/>
      </c>
      <c r="J154" s="3" t="n">
        <v>1320</v>
      </c>
      <c r="K154" s="3">
        <f>G154*J154</f>
        <v/>
      </c>
      <c r="L154" s="3">
        <f>I154-K154</f>
        <v/>
      </c>
    </row>
    <row r="155">
      <c r="A155" s="4" t="inlineStr">
        <is>
          <t>ORD-1154</t>
        </is>
      </c>
      <c r="B155" s="4" t="inlineStr">
        <is>
          <t>2024-09-20</t>
        </is>
      </c>
      <c r="C155" s="4" t="inlineStr">
        <is>
          <t>East</t>
        </is>
      </c>
      <c r="D155" s="4" t="inlineStr">
        <is>
          <t>Carol White</t>
        </is>
      </c>
      <c r="E155" s="4" t="inlineStr">
        <is>
          <t>City Cruiser</t>
        </is>
      </c>
      <c r="F155" s="4" t="inlineStr">
        <is>
          <t>City</t>
        </is>
      </c>
      <c r="G155" s="4" t="n">
        <v>5</v>
      </c>
      <c r="H155" s="5" t="n">
        <v>450</v>
      </c>
      <c r="I155" s="5">
        <f>G155*H155</f>
        <v/>
      </c>
      <c r="J155" s="5" t="n">
        <v>270</v>
      </c>
      <c r="K155" s="5">
        <f>G155*J155</f>
        <v/>
      </c>
      <c r="L155" s="5">
        <f>I155-K155</f>
        <v/>
      </c>
    </row>
    <row r="156">
      <c r="A156" s="2" t="inlineStr">
        <is>
          <t>ORD-1155</t>
        </is>
      </c>
      <c r="B156" s="2" t="inlineStr">
        <is>
          <t>2024-09-07</t>
        </is>
      </c>
      <c r="C156" s="2" t="inlineStr">
        <is>
          <t>North</t>
        </is>
      </c>
      <c r="D156" s="2" t="inlineStr">
        <is>
          <t>Eve Davis</t>
        </is>
      </c>
      <c r="E156" s="2" t="inlineStr">
        <is>
          <t>BMX Stunt</t>
        </is>
      </c>
      <c r="F156" s="2" t="inlineStr">
        <is>
          <t>BMX</t>
        </is>
      </c>
      <c r="G156" s="2" t="n">
        <v>5</v>
      </c>
      <c r="H156" s="3" t="n">
        <v>320</v>
      </c>
      <c r="I156" s="3">
        <f>G156*H156</f>
        <v/>
      </c>
      <c r="J156" s="3" t="n">
        <v>192</v>
      </c>
      <c r="K156" s="3">
        <f>G156*J156</f>
        <v/>
      </c>
      <c r="L156" s="3">
        <f>I156-K156</f>
        <v/>
      </c>
    </row>
    <row r="157">
      <c r="A157" s="4" t="inlineStr">
        <is>
          <t>ORD-1156</t>
        </is>
      </c>
      <c r="B157" s="4" t="inlineStr">
        <is>
          <t>2024-09-18</t>
        </is>
      </c>
      <c r="C157" s="4" t="inlineStr">
        <is>
          <t>West</t>
        </is>
      </c>
      <c r="D157" s="4" t="inlineStr">
        <is>
          <t>David Brown</t>
        </is>
      </c>
      <c r="E157" s="4" t="inlineStr">
        <is>
          <t>Mountain Bike Pro</t>
        </is>
      </c>
      <c r="F157" s="4" t="inlineStr">
        <is>
          <t>Mountain</t>
        </is>
      </c>
      <c r="G157" s="4" t="n">
        <v>4</v>
      </c>
      <c r="H157" s="5" t="n">
        <v>850</v>
      </c>
      <c r="I157" s="5">
        <f>G157*H157</f>
        <v/>
      </c>
      <c r="J157" s="5" t="n">
        <v>510</v>
      </c>
      <c r="K157" s="5">
        <f>G157*J157</f>
        <v/>
      </c>
      <c r="L157" s="5">
        <f>I157-K157</f>
        <v/>
      </c>
    </row>
    <row r="158">
      <c r="A158" s="2" t="inlineStr">
        <is>
          <t>ORD-1157</t>
        </is>
      </c>
      <c r="B158" s="2" t="inlineStr">
        <is>
          <t>2024-09-15</t>
        </is>
      </c>
      <c r="C158" s="2" t="inlineStr">
        <is>
          <t>West</t>
        </is>
      </c>
      <c r="D158" s="2" t="inlineStr">
        <is>
          <t>David Brown</t>
        </is>
      </c>
      <c r="E158" s="2" t="inlineStr">
        <is>
          <t>Hybrid Commuter</t>
        </is>
      </c>
      <c r="F158" s="2" t="inlineStr">
        <is>
          <t>City</t>
        </is>
      </c>
      <c r="G158" s="2" t="n">
        <v>4</v>
      </c>
      <c r="H158" s="3" t="n">
        <v>650</v>
      </c>
      <c r="I158" s="3">
        <f>G158*H158</f>
        <v/>
      </c>
      <c r="J158" s="3" t="n">
        <v>390</v>
      </c>
      <c r="K158" s="3">
        <f>G158*J158</f>
        <v/>
      </c>
      <c r="L158" s="3">
        <f>I158-K158</f>
        <v/>
      </c>
    </row>
    <row r="159">
      <c r="A159" s="4" t="inlineStr">
        <is>
          <t>ORD-1158</t>
        </is>
      </c>
      <c r="B159" s="4" t="inlineStr">
        <is>
          <t>2024-09-08</t>
        </is>
      </c>
      <c r="C159" s="4" t="inlineStr">
        <is>
          <t>North</t>
        </is>
      </c>
      <c r="D159" s="4" t="inlineStr">
        <is>
          <t>Carol White</t>
        </is>
      </c>
      <c r="E159" s="4" t="inlineStr">
        <is>
          <t>Hybrid Commuter</t>
        </is>
      </c>
      <c r="F159" s="4" t="inlineStr">
        <is>
          <t>City</t>
        </is>
      </c>
      <c r="G159" s="4" t="n">
        <v>1</v>
      </c>
      <c r="H159" s="5" t="n">
        <v>650</v>
      </c>
      <c r="I159" s="5">
        <f>G159*H159</f>
        <v/>
      </c>
      <c r="J159" s="5" t="n">
        <v>390</v>
      </c>
      <c r="K159" s="5">
        <f>G159*J159</f>
        <v/>
      </c>
      <c r="L159" s="5">
        <f>I159-K159</f>
        <v/>
      </c>
    </row>
    <row r="160">
      <c r="A160" s="2" t="inlineStr">
        <is>
          <t>ORD-1159</t>
        </is>
      </c>
      <c r="B160" s="2" t="inlineStr">
        <is>
          <t>2024-09-12</t>
        </is>
      </c>
      <c r="C160" s="2" t="inlineStr">
        <is>
          <t>East</t>
        </is>
      </c>
      <c r="D160" s="2" t="inlineStr">
        <is>
          <t>Eve Davis</t>
        </is>
      </c>
      <c r="E160" s="2" t="inlineStr">
        <is>
          <t>Electric eBike</t>
        </is>
      </c>
      <c r="F160" s="2" t="inlineStr">
        <is>
          <t>Electric</t>
        </is>
      </c>
      <c r="G160" s="2" t="n">
        <v>4</v>
      </c>
      <c r="H160" s="3" t="n">
        <v>2200</v>
      </c>
      <c r="I160" s="3">
        <f>G160*H160</f>
        <v/>
      </c>
      <c r="J160" s="3" t="n">
        <v>1320</v>
      </c>
      <c r="K160" s="3">
        <f>G160*J160</f>
        <v/>
      </c>
      <c r="L160" s="3">
        <f>I160-K160</f>
        <v/>
      </c>
    </row>
    <row r="161">
      <c r="A161" s="4" t="inlineStr">
        <is>
          <t>ORD-1160</t>
        </is>
      </c>
      <c r="B161" s="4" t="inlineStr">
        <is>
          <t>2024-09-24</t>
        </is>
      </c>
      <c r="C161" s="4" t="inlineStr">
        <is>
          <t>East</t>
        </is>
      </c>
      <c r="D161" s="4" t="inlineStr">
        <is>
          <t>David Brown</t>
        </is>
      </c>
      <c r="E161" s="4" t="inlineStr">
        <is>
          <t>Electric eBike</t>
        </is>
      </c>
      <c r="F161" s="4" t="inlineStr">
        <is>
          <t>Electric</t>
        </is>
      </c>
      <c r="G161" s="4" t="n">
        <v>9</v>
      </c>
      <c r="H161" s="5" t="n">
        <v>2200</v>
      </c>
      <c r="I161" s="5">
        <f>G161*H161</f>
        <v/>
      </c>
      <c r="J161" s="5" t="n">
        <v>1320</v>
      </c>
      <c r="K161" s="5">
        <f>G161*J161</f>
        <v/>
      </c>
      <c r="L161" s="5">
        <f>I161-K161</f>
        <v/>
      </c>
    </row>
    <row r="162">
      <c r="A162" s="2" t="inlineStr">
        <is>
          <t>ORD-1161</t>
        </is>
      </c>
      <c r="B162" s="2" t="inlineStr">
        <is>
          <t>2024-09-09</t>
        </is>
      </c>
      <c r="C162" s="2" t="inlineStr">
        <is>
          <t>East</t>
        </is>
      </c>
      <c r="D162" s="2" t="inlineStr">
        <is>
          <t>David Brown</t>
        </is>
      </c>
      <c r="E162" s="2" t="inlineStr">
        <is>
          <t>Kids Rocket</t>
        </is>
      </c>
      <c r="F162" s="2" t="inlineStr">
        <is>
          <t>Kids</t>
        </is>
      </c>
      <c r="G162" s="2" t="n">
        <v>6</v>
      </c>
      <c r="H162" s="3" t="n">
        <v>180</v>
      </c>
      <c r="I162" s="3">
        <f>G162*H162</f>
        <v/>
      </c>
      <c r="J162" s="3" t="n">
        <v>108</v>
      </c>
      <c r="K162" s="3">
        <f>G162*J162</f>
        <v/>
      </c>
      <c r="L162" s="3">
        <f>I162-K162</f>
        <v/>
      </c>
    </row>
    <row r="163">
      <c r="A163" s="4" t="inlineStr">
        <is>
          <t>ORD-1162</t>
        </is>
      </c>
      <c r="B163" s="4" t="inlineStr">
        <is>
          <t>2024-09-24</t>
        </is>
      </c>
      <c r="C163" s="4" t="inlineStr">
        <is>
          <t>South</t>
        </is>
      </c>
      <c r="D163" s="4" t="inlineStr">
        <is>
          <t>Alice Johnson</t>
        </is>
      </c>
      <c r="E163" s="4" t="inlineStr">
        <is>
          <t>City Cruiser</t>
        </is>
      </c>
      <c r="F163" s="4" t="inlineStr">
        <is>
          <t>City</t>
        </is>
      </c>
      <c r="G163" s="4" t="n">
        <v>5</v>
      </c>
      <c r="H163" s="5" t="n">
        <v>450</v>
      </c>
      <c r="I163" s="5">
        <f>G163*H163</f>
        <v/>
      </c>
      <c r="J163" s="5" t="n">
        <v>270</v>
      </c>
      <c r="K163" s="5">
        <f>G163*J163</f>
        <v/>
      </c>
      <c r="L163" s="5">
        <f>I163-K163</f>
        <v/>
      </c>
    </row>
    <row r="164">
      <c r="A164" s="2" t="inlineStr">
        <is>
          <t>ORD-1163</t>
        </is>
      </c>
      <c r="B164" s="2" t="inlineStr">
        <is>
          <t>2024-09-25</t>
        </is>
      </c>
      <c r="C164" s="2" t="inlineStr">
        <is>
          <t>North</t>
        </is>
      </c>
      <c r="D164" s="2" t="inlineStr">
        <is>
          <t>Eve Davis</t>
        </is>
      </c>
      <c r="E164" s="2" t="inlineStr">
        <is>
          <t>Road Racer X</t>
        </is>
      </c>
      <c r="F164" s="2" t="inlineStr">
        <is>
          <t>Road</t>
        </is>
      </c>
      <c r="G164" s="2" t="n">
        <v>6</v>
      </c>
      <c r="H164" s="3" t="n">
        <v>1200</v>
      </c>
      <c r="I164" s="3">
        <f>G164*H164</f>
        <v/>
      </c>
      <c r="J164" s="3" t="n">
        <v>720</v>
      </c>
      <c r="K164" s="3">
        <f>G164*J164</f>
        <v/>
      </c>
      <c r="L164" s="3">
        <f>I164-K164</f>
        <v/>
      </c>
    </row>
    <row r="165">
      <c r="A165" s="4" t="inlineStr">
        <is>
          <t>ORD-1164</t>
        </is>
      </c>
      <c r="B165" s="4" t="inlineStr">
        <is>
          <t>2024-09-24</t>
        </is>
      </c>
      <c r="C165" s="4" t="inlineStr">
        <is>
          <t>South</t>
        </is>
      </c>
      <c r="D165" s="4" t="inlineStr">
        <is>
          <t>Bob Smith</t>
        </is>
      </c>
      <c r="E165" s="4" t="inlineStr">
        <is>
          <t>BMX Stunt</t>
        </is>
      </c>
      <c r="F165" s="4" t="inlineStr">
        <is>
          <t>BMX</t>
        </is>
      </c>
      <c r="G165" s="4" t="n">
        <v>3</v>
      </c>
      <c r="H165" s="5" t="n">
        <v>320</v>
      </c>
      <c r="I165" s="5">
        <f>G165*H165</f>
        <v/>
      </c>
      <c r="J165" s="5" t="n">
        <v>192</v>
      </c>
      <c r="K165" s="5">
        <f>G165*J165</f>
        <v/>
      </c>
      <c r="L165" s="5">
        <f>I165-K165</f>
        <v/>
      </c>
    </row>
    <row r="166">
      <c r="A166" s="2" t="inlineStr">
        <is>
          <t>ORD-1165</t>
        </is>
      </c>
      <c r="B166" s="2" t="inlineStr">
        <is>
          <t>2024-09-27</t>
        </is>
      </c>
      <c r="C166" s="2" t="inlineStr">
        <is>
          <t>East</t>
        </is>
      </c>
      <c r="D166" s="2" t="inlineStr">
        <is>
          <t>Alice Johnson</t>
        </is>
      </c>
      <c r="E166" s="2" t="inlineStr">
        <is>
          <t>Electric eBike</t>
        </is>
      </c>
      <c r="F166" s="2" t="inlineStr">
        <is>
          <t>Electric</t>
        </is>
      </c>
      <c r="G166" s="2" t="n">
        <v>5</v>
      </c>
      <c r="H166" s="3" t="n">
        <v>2200</v>
      </c>
      <c r="I166" s="3">
        <f>G166*H166</f>
        <v/>
      </c>
      <c r="J166" s="3" t="n">
        <v>1320</v>
      </c>
      <c r="K166" s="3">
        <f>G166*J166</f>
        <v/>
      </c>
      <c r="L166" s="3">
        <f>I166-K166</f>
        <v/>
      </c>
    </row>
    <row r="167">
      <c r="A167" s="4" t="inlineStr">
        <is>
          <t>ORD-1166</t>
        </is>
      </c>
      <c r="B167" s="4" t="inlineStr">
        <is>
          <t>2024-09-06</t>
        </is>
      </c>
      <c r="C167" s="4" t="inlineStr">
        <is>
          <t>South</t>
        </is>
      </c>
      <c r="D167" s="4" t="inlineStr">
        <is>
          <t>Carol White</t>
        </is>
      </c>
      <c r="E167" s="4" t="inlineStr">
        <is>
          <t>Road Racer X</t>
        </is>
      </c>
      <c r="F167" s="4" t="inlineStr">
        <is>
          <t>Road</t>
        </is>
      </c>
      <c r="G167" s="4" t="n">
        <v>5</v>
      </c>
      <c r="H167" s="5" t="n">
        <v>1200</v>
      </c>
      <c r="I167" s="5">
        <f>G167*H167</f>
        <v/>
      </c>
      <c r="J167" s="5" t="n">
        <v>720</v>
      </c>
      <c r="K167" s="5">
        <f>G167*J167</f>
        <v/>
      </c>
      <c r="L167" s="5">
        <f>I167-K167</f>
        <v/>
      </c>
    </row>
    <row r="168">
      <c r="A168" s="2" t="inlineStr">
        <is>
          <t>ORD-1167</t>
        </is>
      </c>
      <c r="B168" s="2" t="inlineStr">
        <is>
          <t>2024-09-02</t>
        </is>
      </c>
      <c r="C168" s="2" t="inlineStr">
        <is>
          <t>South</t>
        </is>
      </c>
      <c r="D168" s="2" t="inlineStr">
        <is>
          <t>Carol White</t>
        </is>
      </c>
      <c r="E168" s="2" t="inlineStr">
        <is>
          <t>City Cruiser</t>
        </is>
      </c>
      <c r="F168" s="2" t="inlineStr">
        <is>
          <t>City</t>
        </is>
      </c>
      <c r="G168" s="2" t="n">
        <v>1</v>
      </c>
      <c r="H168" s="3" t="n">
        <v>450</v>
      </c>
      <c r="I168" s="3">
        <f>G168*H168</f>
        <v/>
      </c>
      <c r="J168" s="3" t="n">
        <v>270</v>
      </c>
      <c r="K168" s="3">
        <f>G168*J168</f>
        <v/>
      </c>
      <c r="L168" s="3">
        <f>I168-K168</f>
        <v/>
      </c>
    </row>
    <row r="169">
      <c r="A169" s="4" t="inlineStr">
        <is>
          <t>ORD-1168</t>
        </is>
      </c>
      <c r="B169" s="4" t="inlineStr">
        <is>
          <t>2024-09-21</t>
        </is>
      </c>
      <c r="C169" s="4" t="inlineStr">
        <is>
          <t>East</t>
        </is>
      </c>
      <c r="D169" s="4" t="inlineStr">
        <is>
          <t>Bob Smith</t>
        </is>
      </c>
      <c r="E169" s="4" t="inlineStr">
        <is>
          <t>Mountain Bike Pro</t>
        </is>
      </c>
      <c r="F169" s="4" t="inlineStr">
        <is>
          <t>Mountain</t>
        </is>
      </c>
      <c r="G169" s="4" t="n">
        <v>9</v>
      </c>
      <c r="H169" s="5" t="n">
        <v>850</v>
      </c>
      <c r="I169" s="5">
        <f>G169*H169</f>
        <v/>
      </c>
      <c r="J169" s="5" t="n">
        <v>510</v>
      </c>
      <c r="K169" s="5">
        <f>G169*J169</f>
        <v/>
      </c>
      <c r="L169" s="5">
        <f>I169-K169</f>
        <v/>
      </c>
    </row>
    <row r="170">
      <c r="A170" s="2" t="inlineStr">
        <is>
          <t>ORD-1169</t>
        </is>
      </c>
      <c r="B170" s="2" t="inlineStr">
        <is>
          <t>2024-10-16</t>
        </is>
      </c>
      <c r="C170" s="2" t="inlineStr">
        <is>
          <t>East</t>
        </is>
      </c>
      <c r="D170" s="2" t="inlineStr">
        <is>
          <t>David Brown</t>
        </is>
      </c>
      <c r="E170" s="2" t="inlineStr">
        <is>
          <t>Mountain Bike Pro</t>
        </is>
      </c>
      <c r="F170" s="2" t="inlineStr">
        <is>
          <t>Mountain</t>
        </is>
      </c>
      <c r="G170" s="2" t="n">
        <v>1</v>
      </c>
      <c r="H170" s="3" t="n">
        <v>850</v>
      </c>
      <c r="I170" s="3">
        <f>G170*H170</f>
        <v/>
      </c>
      <c r="J170" s="3" t="n">
        <v>510</v>
      </c>
      <c r="K170" s="3">
        <f>G170*J170</f>
        <v/>
      </c>
      <c r="L170" s="3">
        <f>I170-K170</f>
        <v/>
      </c>
    </row>
    <row r="171">
      <c r="A171" s="4" t="inlineStr">
        <is>
          <t>ORD-1170</t>
        </is>
      </c>
      <c r="B171" s="4" t="inlineStr">
        <is>
          <t>2024-10-09</t>
        </is>
      </c>
      <c r="C171" s="4" t="inlineStr">
        <is>
          <t>South</t>
        </is>
      </c>
      <c r="D171" s="4" t="inlineStr">
        <is>
          <t>Alice Johnson</t>
        </is>
      </c>
      <c r="E171" s="4" t="inlineStr">
        <is>
          <t>Electric eBike</t>
        </is>
      </c>
      <c r="F171" s="4" t="inlineStr">
        <is>
          <t>Electric</t>
        </is>
      </c>
      <c r="G171" s="4" t="n">
        <v>6</v>
      </c>
      <c r="H171" s="5" t="n">
        <v>2200</v>
      </c>
      <c r="I171" s="5">
        <f>G171*H171</f>
        <v/>
      </c>
      <c r="J171" s="5" t="n">
        <v>1320</v>
      </c>
      <c r="K171" s="5">
        <f>G171*J171</f>
        <v/>
      </c>
      <c r="L171" s="5">
        <f>I171-K171</f>
        <v/>
      </c>
    </row>
    <row r="172">
      <c r="A172" s="2" t="inlineStr">
        <is>
          <t>ORD-1171</t>
        </is>
      </c>
      <c r="B172" s="2" t="inlineStr">
        <is>
          <t>2024-10-13</t>
        </is>
      </c>
      <c r="C172" s="2" t="inlineStr">
        <is>
          <t>North</t>
        </is>
      </c>
      <c r="D172" s="2" t="inlineStr">
        <is>
          <t>Alice Johnson</t>
        </is>
      </c>
      <c r="E172" s="2" t="inlineStr">
        <is>
          <t>Hybrid Commuter</t>
        </is>
      </c>
      <c r="F172" s="2" t="inlineStr">
        <is>
          <t>City</t>
        </is>
      </c>
      <c r="G172" s="2" t="n">
        <v>8</v>
      </c>
      <c r="H172" s="3" t="n">
        <v>650</v>
      </c>
      <c r="I172" s="3">
        <f>G172*H172</f>
        <v/>
      </c>
      <c r="J172" s="3" t="n">
        <v>390</v>
      </c>
      <c r="K172" s="3">
        <f>G172*J172</f>
        <v/>
      </c>
      <c r="L172" s="3">
        <f>I172-K172</f>
        <v/>
      </c>
    </row>
    <row r="173">
      <c r="A173" s="4" t="inlineStr">
        <is>
          <t>ORD-1172</t>
        </is>
      </c>
      <c r="B173" s="4" t="inlineStr">
        <is>
          <t>2024-10-05</t>
        </is>
      </c>
      <c r="C173" s="4" t="inlineStr">
        <is>
          <t>North</t>
        </is>
      </c>
      <c r="D173" s="4" t="inlineStr">
        <is>
          <t>Bob Smith</t>
        </is>
      </c>
      <c r="E173" s="4" t="inlineStr">
        <is>
          <t>Electric eBike</t>
        </is>
      </c>
      <c r="F173" s="4" t="inlineStr">
        <is>
          <t>Electric</t>
        </is>
      </c>
      <c r="G173" s="4" t="n">
        <v>2</v>
      </c>
      <c r="H173" s="5" t="n">
        <v>2200</v>
      </c>
      <c r="I173" s="5">
        <f>G173*H173</f>
        <v/>
      </c>
      <c r="J173" s="5" t="n">
        <v>1320</v>
      </c>
      <c r="K173" s="5">
        <f>G173*J173</f>
        <v/>
      </c>
      <c r="L173" s="5">
        <f>I173-K173</f>
        <v/>
      </c>
    </row>
    <row r="174">
      <c r="A174" s="2" t="inlineStr">
        <is>
          <t>ORD-1173</t>
        </is>
      </c>
      <c r="B174" s="2" t="inlineStr">
        <is>
          <t>2024-10-08</t>
        </is>
      </c>
      <c r="C174" s="2" t="inlineStr">
        <is>
          <t>East</t>
        </is>
      </c>
      <c r="D174" s="2" t="inlineStr">
        <is>
          <t>Alice Johnson</t>
        </is>
      </c>
      <c r="E174" s="2" t="inlineStr">
        <is>
          <t>Hybrid Commuter</t>
        </is>
      </c>
      <c r="F174" s="2" t="inlineStr">
        <is>
          <t>City</t>
        </is>
      </c>
      <c r="G174" s="2" t="n">
        <v>10</v>
      </c>
      <c r="H174" s="3" t="n">
        <v>650</v>
      </c>
      <c r="I174" s="3">
        <f>G174*H174</f>
        <v/>
      </c>
      <c r="J174" s="3" t="n">
        <v>390</v>
      </c>
      <c r="K174" s="3">
        <f>G174*J174</f>
        <v/>
      </c>
      <c r="L174" s="3">
        <f>I174-K174</f>
        <v/>
      </c>
    </row>
    <row r="175">
      <c r="A175" s="4" t="inlineStr">
        <is>
          <t>ORD-1174</t>
        </is>
      </c>
      <c r="B175" s="4" t="inlineStr">
        <is>
          <t>2024-10-20</t>
        </is>
      </c>
      <c r="C175" s="4" t="inlineStr">
        <is>
          <t>West</t>
        </is>
      </c>
      <c r="D175" s="4" t="inlineStr">
        <is>
          <t>Eve Davis</t>
        </is>
      </c>
      <c r="E175" s="4" t="inlineStr">
        <is>
          <t>Mountain Bike Pro</t>
        </is>
      </c>
      <c r="F175" s="4" t="inlineStr">
        <is>
          <t>Mountain</t>
        </is>
      </c>
      <c r="G175" s="4" t="n">
        <v>9</v>
      </c>
      <c r="H175" s="5" t="n">
        <v>850</v>
      </c>
      <c r="I175" s="5">
        <f>G175*H175</f>
        <v/>
      </c>
      <c r="J175" s="5" t="n">
        <v>510</v>
      </c>
      <c r="K175" s="5">
        <f>G175*J175</f>
        <v/>
      </c>
      <c r="L175" s="5">
        <f>I175-K175</f>
        <v/>
      </c>
    </row>
    <row r="176">
      <c r="A176" s="2" t="inlineStr">
        <is>
          <t>ORD-1175</t>
        </is>
      </c>
      <c r="B176" s="2" t="inlineStr">
        <is>
          <t>2024-10-13</t>
        </is>
      </c>
      <c r="C176" s="2" t="inlineStr">
        <is>
          <t>South</t>
        </is>
      </c>
      <c r="D176" s="2" t="inlineStr">
        <is>
          <t>Eve Davis</t>
        </is>
      </c>
      <c r="E176" s="2" t="inlineStr">
        <is>
          <t>Hybrid Commuter</t>
        </is>
      </c>
      <c r="F176" s="2" t="inlineStr">
        <is>
          <t>City</t>
        </is>
      </c>
      <c r="G176" s="2" t="n">
        <v>10</v>
      </c>
      <c r="H176" s="3" t="n">
        <v>650</v>
      </c>
      <c r="I176" s="3">
        <f>G176*H176</f>
        <v/>
      </c>
      <c r="J176" s="3" t="n">
        <v>390</v>
      </c>
      <c r="K176" s="3">
        <f>G176*J176</f>
        <v/>
      </c>
      <c r="L176" s="3">
        <f>I176-K176</f>
        <v/>
      </c>
    </row>
    <row r="177">
      <c r="A177" s="4" t="inlineStr">
        <is>
          <t>ORD-1176</t>
        </is>
      </c>
      <c r="B177" s="4" t="inlineStr">
        <is>
          <t>2024-10-14</t>
        </is>
      </c>
      <c r="C177" s="4" t="inlineStr">
        <is>
          <t>East</t>
        </is>
      </c>
      <c r="D177" s="4" t="inlineStr">
        <is>
          <t>Eve Davis</t>
        </is>
      </c>
      <c r="E177" s="4" t="inlineStr">
        <is>
          <t>Electric eBike</t>
        </is>
      </c>
      <c r="F177" s="4" t="inlineStr">
        <is>
          <t>Electric</t>
        </is>
      </c>
      <c r="G177" s="4" t="n">
        <v>8</v>
      </c>
      <c r="H177" s="5" t="n">
        <v>2200</v>
      </c>
      <c r="I177" s="5">
        <f>G177*H177</f>
        <v/>
      </c>
      <c r="J177" s="5" t="n">
        <v>1320</v>
      </c>
      <c r="K177" s="5">
        <f>G177*J177</f>
        <v/>
      </c>
      <c r="L177" s="5">
        <f>I177-K177</f>
        <v/>
      </c>
    </row>
    <row r="178">
      <c r="A178" s="2" t="inlineStr">
        <is>
          <t>ORD-1177</t>
        </is>
      </c>
      <c r="B178" s="2" t="inlineStr">
        <is>
          <t>2024-10-24</t>
        </is>
      </c>
      <c r="C178" s="2" t="inlineStr">
        <is>
          <t>North</t>
        </is>
      </c>
      <c r="D178" s="2" t="inlineStr">
        <is>
          <t>Eve Davis</t>
        </is>
      </c>
      <c r="E178" s="2" t="inlineStr">
        <is>
          <t>City Cruiser</t>
        </is>
      </c>
      <c r="F178" s="2" t="inlineStr">
        <is>
          <t>City</t>
        </is>
      </c>
      <c r="G178" s="2" t="n">
        <v>10</v>
      </c>
      <c r="H178" s="3" t="n">
        <v>450</v>
      </c>
      <c r="I178" s="3">
        <f>G178*H178</f>
        <v/>
      </c>
      <c r="J178" s="3" t="n">
        <v>270</v>
      </c>
      <c r="K178" s="3">
        <f>G178*J178</f>
        <v/>
      </c>
      <c r="L178" s="3">
        <f>I178-K178</f>
        <v/>
      </c>
    </row>
    <row r="179">
      <c r="A179" s="4" t="inlineStr">
        <is>
          <t>ORD-1178</t>
        </is>
      </c>
      <c r="B179" s="4" t="inlineStr">
        <is>
          <t>2024-10-22</t>
        </is>
      </c>
      <c r="C179" s="4" t="inlineStr">
        <is>
          <t>South</t>
        </is>
      </c>
      <c r="D179" s="4" t="inlineStr">
        <is>
          <t>Carol White</t>
        </is>
      </c>
      <c r="E179" s="4" t="inlineStr">
        <is>
          <t>Mountain Bike Pro</t>
        </is>
      </c>
      <c r="F179" s="4" t="inlineStr">
        <is>
          <t>Mountain</t>
        </is>
      </c>
      <c r="G179" s="4" t="n">
        <v>4</v>
      </c>
      <c r="H179" s="5" t="n">
        <v>850</v>
      </c>
      <c r="I179" s="5">
        <f>G179*H179</f>
        <v/>
      </c>
      <c r="J179" s="5" t="n">
        <v>510</v>
      </c>
      <c r="K179" s="5">
        <f>G179*J179</f>
        <v/>
      </c>
      <c r="L179" s="5">
        <f>I179-K179</f>
        <v/>
      </c>
    </row>
    <row r="180">
      <c r="A180" s="2" t="inlineStr">
        <is>
          <t>ORD-1179</t>
        </is>
      </c>
      <c r="B180" s="2" t="inlineStr">
        <is>
          <t>2024-10-18</t>
        </is>
      </c>
      <c r="C180" s="2" t="inlineStr">
        <is>
          <t>South</t>
        </is>
      </c>
      <c r="D180" s="2" t="inlineStr">
        <is>
          <t>Bob Smith</t>
        </is>
      </c>
      <c r="E180" s="2" t="inlineStr">
        <is>
          <t>Mountain Bike Pro</t>
        </is>
      </c>
      <c r="F180" s="2" t="inlineStr">
        <is>
          <t>Mountain</t>
        </is>
      </c>
      <c r="G180" s="2" t="n">
        <v>3</v>
      </c>
      <c r="H180" s="3" t="n">
        <v>850</v>
      </c>
      <c r="I180" s="3">
        <f>G180*H180</f>
        <v/>
      </c>
      <c r="J180" s="3" t="n">
        <v>510</v>
      </c>
      <c r="K180" s="3">
        <f>G180*J180</f>
        <v/>
      </c>
      <c r="L180" s="3">
        <f>I180-K180</f>
        <v/>
      </c>
    </row>
    <row r="181">
      <c r="A181" s="4" t="inlineStr">
        <is>
          <t>ORD-1180</t>
        </is>
      </c>
      <c r="B181" s="4" t="inlineStr">
        <is>
          <t>2024-10-15</t>
        </is>
      </c>
      <c r="C181" s="4" t="inlineStr">
        <is>
          <t>North</t>
        </is>
      </c>
      <c r="D181" s="4" t="inlineStr">
        <is>
          <t>David Brown</t>
        </is>
      </c>
      <c r="E181" s="4" t="inlineStr">
        <is>
          <t>Mountain Bike Pro</t>
        </is>
      </c>
      <c r="F181" s="4" t="inlineStr">
        <is>
          <t>Mountain</t>
        </is>
      </c>
      <c r="G181" s="4" t="n">
        <v>3</v>
      </c>
      <c r="H181" s="5" t="n">
        <v>850</v>
      </c>
      <c r="I181" s="5">
        <f>G181*H181</f>
        <v/>
      </c>
      <c r="J181" s="5" t="n">
        <v>510</v>
      </c>
      <c r="K181" s="5">
        <f>G181*J181</f>
        <v/>
      </c>
      <c r="L181" s="5">
        <f>I181-K181</f>
        <v/>
      </c>
    </row>
    <row r="182">
      <c r="A182" s="2" t="inlineStr">
        <is>
          <t>ORD-1181</t>
        </is>
      </c>
      <c r="B182" s="2" t="inlineStr">
        <is>
          <t>2024-10-02</t>
        </is>
      </c>
      <c r="C182" s="2" t="inlineStr">
        <is>
          <t>West</t>
        </is>
      </c>
      <c r="D182" s="2" t="inlineStr">
        <is>
          <t>Carol White</t>
        </is>
      </c>
      <c r="E182" s="2" t="inlineStr">
        <is>
          <t>BMX Stunt</t>
        </is>
      </c>
      <c r="F182" s="2" t="inlineStr">
        <is>
          <t>BMX</t>
        </is>
      </c>
      <c r="G182" s="2" t="n">
        <v>10</v>
      </c>
      <c r="H182" s="3" t="n">
        <v>320</v>
      </c>
      <c r="I182" s="3">
        <f>G182*H182</f>
        <v/>
      </c>
      <c r="J182" s="3" t="n">
        <v>192</v>
      </c>
      <c r="K182" s="3">
        <f>G182*J182</f>
        <v/>
      </c>
      <c r="L182" s="3">
        <f>I182-K182</f>
        <v/>
      </c>
    </row>
    <row r="183">
      <c r="A183" s="4" t="inlineStr">
        <is>
          <t>ORD-1182</t>
        </is>
      </c>
      <c r="B183" s="4" t="inlineStr">
        <is>
          <t>2024-10-03</t>
        </is>
      </c>
      <c r="C183" s="4" t="inlineStr">
        <is>
          <t>East</t>
        </is>
      </c>
      <c r="D183" s="4" t="inlineStr">
        <is>
          <t>David Brown</t>
        </is>
      </c>
      <c r="E183" s="4" t="inlineStr">
        <is>
          <t>Road Racer X</t>
        </is>
      </c>
      <c r="F183" s="4" t="inlineStr">
        <is>
          <t>Road</t>
        </is>
      </c>
      <c r="G183" s="4" t="n">
        <v>5</v>
      </c>
      <c r="H183" s="5" t="n">
        <v>1200</v>
      </c>
      <c r="I183" s="5">
        <f>G183*H183</f>
        <v/>
      </c>
      <c r="J183" s="5" t="n">
        <v>720</v>
      </c>
      <c r="K183" s="5">
        <f>G183*J183</f>
        <v/>
      </c>
      <c r="L183" s="5">
        <f>I183-K183</f>
        <v/>
      </c>
    </row>
    <row r="184">
      <c r="A184" s="2" t="inlineStr">
        <is>
          <t>ORD-1183</t>
        </is>
      </c>
      <c r="B184" s="2" t="inlineStr">
        <is>
          <t>2024-10-22</t>
        </is>
      </c>
      <c r="C184" s="2" t="inlineStr">
        <is>
          <t>East</t>
        </is>
      </c>
      <c r="D184" s="2" t="inlineStr">
        <is>
          <t>Eve Davis</t>
        </is>
      </c>
      <c r="E184" s="2" t="inlineStr">
        <is>
          <t>BMX Stunt</t>
        </is>
      </c>
      <c r="F184" s="2" t="inlineStr">
        <is>
          <t>BMX</t>
        </is>
      </c>
      <c r="G184" s="2" t="n">
        <v>4</v>
      </c>
      <c r="H184" s="3" t="n">
        <v>320</v>
      </c>
      <c r="I184" s="3">
        <f>G184*H184</f>
        <v/>
      </c>
      <c r="J184" s="3" t="n">
        <v>192</v>
      </c>
      <c r="K184" s="3">
        <f>G184*J184</f>
        <v/>
      </c>
      <c r="L184" s="3">
        <f>I184-K184</f>
        <v/>
      </c>
    </row>
    <row r="185">
      <c r="A185" s="4" t="inlineStr">
        <is>
          <t>ORD-1184</t>
        </is>
      </c>
      <c r="B185" s="4" t="inlineStr">
        <is>
          <t>2024-10-18</t>
        </is>
      </c>
      <c r="C185" s="4" t="inlineStr">
        <is>
          <t>West</t>
        </is>
      </c>
      <c r="D185" s="4" t="inlineStr">
        <is>
          <t>Alice Johnson</t>
        </is>
      </c>
      <c r="E185" s="4" t="inlineStr">
        <is>
          <t>Hybrid Commuter</t>
        </is>
      </c>
      <c r="F185" s="4" t="inlineStr">
        <is>
          <t>City</t>
        </is>
      </c>
      <c r="G185" s="4" t="n">
        <v>4</v>
      </c>
      <c r="H185" s="5" t="n">
        <v>650</v>
      </c>
      <c r="I185" s="5">
        <f>G185*H185</f>
        <v/>
      </c>
      <c r="J185" s="5" t="n">
        <v>390</v>
      </c>
      <c r="K185" s="5">
        <f>G185*J185</f>
        <v/>
      </c>
      <c r="L185" s="5">
        <f>I185-K185</f>
        <v/>
      </c>
    </row>
    <row r="186">
      <c r="A186" s="2" t="inlineStr">
        <is>
          <t>ORD-1185</t>
        </is>
      </c>
      <c r="B186" s="2" t="inlineStr">
        <is>
          <t>2024-10-03</t>
        </is>
      </c>
      <c r="C186" s="2" t="inlineStr">
        <is>
          <t>East</t>
        </is>
      </c>
      <c r="D186" s="2" t="inlineStr">
        <is>
          <t>Bob Smith</t>
        </is>
      </c>
      <c r="E186" s="2" t="inlineStr">
        <is>
          <t>Road Racer X</t>
        </is>
      </c>
      <c r="F186" s="2" t="inlineStr">
        <is>
          <t>Road</t>
        </is>
      </c>
      <c r="G186" s="2" t="n">
        <v>3</v>
      </c>
      <c r="H186" s="3" t="n">
        <v>1200</v>
      </c>
      <c r="I186" s="3">
        <f>G186*H186</f>
        <v/>
      </c>
      <c r="J186" s="3" t="n">
        <v>720</v>
      </c>
      <c r="K186" s="3">
        <f>G186*J186</f>
        <v/>
      </c>
      <c r="L186" s="3">
        <f>I186-K186</f>
        <v/>
      </c>
    </row>
    <row r="187">
      <c r="A187" s="4" t="inlineStr">
        <is>
          <t>ORD-1186</t>
        </is>
      </c>
      <c r="B187" s="4" t="inlineStr">
        <is>
          <t>2024-10-24</t>
        </is>
      </c>
      <c r="C187" s="4" t="inlineStr">
        <is>
          <t>East</t>
        </is>
      </c>
      <c r="D187" s="4" t="inlineStr">
        <is>
          <t>Eve Davis</t>
        </is>
      </c>
      <c r="E187" s="4" t="inlineStr">
        <is>
          <t>Mountain Bike Pro</t>
        </is>
      </c>
      <c r="F187" s="4" t="inlineStr">
        <is>
          <t>Mountain</t>
        </is>
      </c>
      <c r="G187" s="4" t="n">
        <v>3</v>
      </c>
      <c r="H187" s="5" t="n">
        <v>850</v>
      </c>
      <c r="I187" s="5">
        <f>G187*H187</f>
        <v/>
      </c>
      <c r="J187" s="5" t="n">
        <v>510</v>
      </c>
      <c r="K187" s="5">
        <f>G187*J187</f>
        <v/>
      </c>
      <c r="L187" s="5">
        <f>I187-K187</f>
        <v/>
      </c>
    </row>
    <row r="188">
      <c r="A188" s="2" t="inlineStr">
        <is>
          <t>ORD-1187</t>
        </is>
      </c>
      <c r="B188" s="2" t="inlineStr">
        <is>
          <t>2024-10-04</t>
        </is>
      </c>
      <c r="C188" s="2" t="inlineStr">
        <is>
          <t>East</t>
        </is>
      </c>
      <c r="D188" s="2" t="inlineStr">
        <is>
          <t>David Brown</t>
        </is>
      </c>
      <c r="E188" s="2" t="inlineStr">
        <is>
          <t>Hybrid Commuter</t>
        </is>
      </c>
      <c r="F188" s="2" t="inlineStr">
        <is>
          <t>City</t>
        </is>
      </c>
      <c r="G188" s="2" t="n">
        <v>10</v>
      </c>
      <c r="H188" s="3" t="n">
        <v>650</v>
      </c>
      <c r="I188" s="3">
        <f>G188*H188</f>
        <v/>
      </c>
      <c r="J188" s="3" t="n">
        <v>390</v>
      </c>
      <c r="K188" s="3">
        <f>G188*J188</f>
        <v/>
      </c>
      <c r="L188" s="3">
        <f>I188-K188</f>
        <v/>
      </c>
    </row>
    <row r="189">
      <c r="A189" s="4" t="inlineStr">
        <is>
          <t>ORD-1188</t>
        </is>
      </c>
      <c r="B189" s="4" t="inlineStr">
        <is>
          <t>2024-10-17</t>
        </is>
      </c>
      <c r="C189" s="4" t="inlineStr">
        <is>
          <t>West</t>
        </is>
      </c>
      <c r="D189" s="4" t="inlineStr">
        <is>
          <t>Carol White</t>
        </is>
      </c>
      <c r="E189" s="4" t="inlineStr">
        <is>
          <t>Electric eBike</t>
        </is>
      </c>
      <c r="F189" s="4" t="inlineStr">
        <is>
          <t>Electric</t>
        </is>
      </c>
      <c r="G189" s="4" t="n">
        <v>5</v>
      </c>
      <c r="H189" s="5" t="n">
        <v>2200</v>
      </c>
      <c r="I189" s="5">
        <f>G189*H189</f>
        <v/>
      </c>
      <c r="J189" s="5" t="n">
        <v>1320</v>
      </c>
      <c r="K189" s="5">
        <f>G189*J189</f>
        <v/>
      </c>
      <c r="L189" s="5">
        <f>I189-K189</f>
        <v/>
      </c>
    </row>
    <row r="190">
      <c r="A190" s="2" t="inlineStr">
        <is>
          <t>ORD-1189</t>
        </is>
      </c>
      <c r="B190" s="2" t="inlineStr">
        <is>
          <t>2024-10-20</t>
        </is>
      </c>
      <c r="C190" s="2" t="inlineStr">
        <is>
          <t>West</t>
        </is>
      </c>
      <c r="D190" s="2" t="inlineStr">
        <is>
          <t>Alice Johnson</t>
        </is>
      </c>
      <c r="E190" s="2" t="inlineStr">
        <is>
          <t>Kids Rocket</t>
        </is>
      </c>
      <c r="F190" s="2" t="inlineStr">
        <is>
          <t>Kids</t>
        </is>
      </c>
      <c r="G190" s="2" t="n">
        <v>8</v>
      </c>
      <c r="H190" s="3" t="n">
        <v>180</v>
      </c>
      <c r="I190" s="3">
        <f>G190*H190</f>
        <v/>
      </c>
      <c r="J190" s="3" t="n">
        <v>108</v>
      </c>
      <c r="K190" s="3">
        <f>G190*J190</f>
        <v/>
      </c>
      <c r="L190" s="3">
        <f>I190-K190</f>
        <v/>
      </c>
    </row>
    <row r="191">
      <c r="A191" s="4" t="inlineStr">
        <is>
          <t>ORD-1190</t>
        </is>
      </c>
      <c r="B191" s="4" t="inlineStr">
        <is>
          <t>2024-10-09</t>
        </is>
      </c>
      <c r="C191" s="4" t="inlineStr">
        <is>
          <t>East</t>
        </is>
      </c>
      <c r="D191" s="4" t="inlineStr">
        <is>
          <t>Eve Davis</t>
        </is>
      </c>
      <c r="E191" s="4" t="inlineStr">
        <is>
          <t>Mountain Bike Pro</t>
        </is>
      </c>
      <c r="F191" s="4" t="inlineStr">
        <is>
          <t>Mountain</t>
        </is>
      </c>
      <c r="G191" s="4" t="n">
        <v>7</v>
      </c>
      <c r="H191" s="5" t="n">
        <v>850</v>
      </c>
      <c r="I191" s="5">
        <f>G191*H191</f>
        <v/>
      </c>
      <c r="J191" s="5" t="n">
        <v>510</v>
      </c>
      <c r="K191" s="5">
        <f>G191*J191</f>
        <v/>
      </c>
      <c r="L191" s="5">
        <f>I191-K191</f>
        <v/>
      </c>
    </row>
    <row r="192">
      <c r="A192" s="2" t="inlineStr">
        <is>
          <t>ORD-1191</t>
        </is>
      </c>
      <c r="B192" s="2" t="inlineStr">
        <is>
          <t>2024-11-19</t>
        </is>
      </c>
      <c r="C192" s="2" t="inlineStr">
        <is>
          <t>North</t>
        </is>
      </c>
      <c r="D192" s="2" t="inlineStr">
        <is>
          <t>Carol White</t>
        </is>
      </c>
      <c r="E192" s="2" t="inlineStr">
        <is>
          <t>Mountain Bike Pro</t>
        </is>
      </c>
      <c r="F192" s="2" t="inlineStr">
        <is>
          <t>Mountain</t>
        </is>
      </c>
      <c r="G192" s="2" t="n">
        <v>4</v>
      </c>
      <c r="H192" s="3" t="n">
        <v>850</v>
      </c>
      <c r="I192" s="3">
        <f>G192*H192</f>
        <v/>
      </c>
      <c r="J192" s="3" t="n">
        <v>510</v>
      </c>
      <c r="K192" s="3">
        <f>G192*J192</f>
        <v/>
      </c>
      <c r="L192" s="3">
        <f>I192-K192</f>
        <v/>
      </c>
    </row>
    <row r="193">
      <c r="A193" s="4" t="inlineStr">
        <is>
          <t>ORD-1192</t>
        </is>
      </c>
      <c r="B193" s="4" t="inlineStr">
        <is>
          <t>2024-11-21</t>
        </is>
      </c>
      <c r="C193" s="4" t="inlineStr">
        <is>
          <t>West</t>
        </is>
      </c>
      <c r="D193" s="4" t="inlineStr">
        <is>
          <t>Eve Davis</t>
        </is>
      </c>
      <c r="E193" s="4" t="inlineStr">
        <is>
          <t>Mountain Bike Pro</t>
        </is>
      </c>
      <c r="F193" s="4" t="inlineStr">
        <is>
          <t>Mountain</t>
        </is>
      </c>
      <c r="G193" s="4" t="n">
        <v>3</v>
      </c>
      <c r="H193" s="5" t="n">
        <v>850</v>
      </c>
      <c r="I193" s="5">
        <f>G193*H193</f>
        <v/>
      </c>
      <c r="J193" s="5" t="n">
        <v>510</v>
      </c>
      <c r="K193" s="5">
        <f>G193*J193</f>
        <v/>
      </c>
      <c r="L193" s="5">
        <f>I193-K193</f>
        <v/>
      </c>
    </row>
    <row r="194">
      <c r="A194" s="2" t="inlineStr">
        <is>
          <t>ORD-1193</t>
        </is>
      </c>
      <c r="B194" s="2" t="inlineStr">
        <is>
          <t>2024-11-14</t>
        </is>
      </c>
      <c r="C194" s="2" t="inlineStr">
        <is>
          <t>South</t>
        </is>
      </c>
      <c r="D194" s="2" t="inlineStr">
        <is>
          <t>Eve Davis</t>
        </is>
      </c>
      <c r="E194" s="2" t="inlineStr">
        <is>
          <t>Electric eBike</t>
        </is>
      </c>
      <c r="F194" s="2" t="inlineStr">
        <is>
          <t>Electric</t>
        </is>
      </c>
      <c r="G194" s="2" t="n">
        <v>5</v>
      </c>
      <c r="H194" s="3" t="n">
        <v>2200</v>
      </c>
      <c r="I194" s="3">
        <f>G194*H194</f>
        <v/>
      </c>
      <c r="J194" s="3" t="n">
        <v>1320</v>
      </c>
      <c r="K194" s="3">
        <f>G194*J194</f>
        <v/>
      </c>
      <c r="L194" s="3">
        <f>I194-K194</f>
        <v/>
      </c>
    </row>
    <row r="195">
      <c r="A195" s="4" t="inlineStr">
        <is>
          <t>ORD-1194</t>
        </is>
      </c>
      <c r="B195" s="4" t="inlineStr">
        <is>
          <t>2024-11-12</t>
        </is>
      </c>
      <c r="C195" s="4" t="inlineStr">
        <is>
          <t>North</t>
        </is>
      </c>
      <c r="D195" s="4" t="inlineStr">
        <is>
          <t>David Brown</t>
        </is>
      </c>
      <c r="E195" s="4" t="inlineStr">
        <is>
          <t>BMX Stunt</t>
        </is>
      </c>
      <c r="F195" s="4" t="inlineStr">
        <is>
          <t>BMX</t>
        </is>
      </c>
      <c r="G195" s="4" t="n">
        <v>8</v>
      </c>
      <c r="H195" s="5" t="n">
        <v>320</v>
      </c>
      <c r="I195" s="5">
        <f>G195*H195</f>
        <v/>
      </c>
      <c r="J195" s="5" t="n">
        <v>192</v>
      </c>
      <c r="K195" s="5">
        <f>G195*J195</f>
        <v/>
      </c>
      <c r="L195" s="5">
        <f>I195-K195</f>
        <v/>
      </c>
    </row>
    <row r="196">
      <c r="A196" s="2" t="inlineStr">
        <is>
          <t>ORD-1195</t>
        </is>
      </c>
      <c r="B196" s="2" t="inlineStr">
        <is>
          <t>2024-11-28</t>
        </is>
      </c>
      <c r="C196" s="2" t="inlineStr">
        <is>
          <t>East</t>
        </is>
      </c>
      <c r="D196" s="2" t="inlineStr">
        <is>
          <t>Alice Johnson</t>
        </is>
      </c>
      <c r="E196" s="2" t="inlineStr">
        <is>
          <t>Electric eBike</t>
        </is>
      </c>
      <c r="F196" s="2" t="inlineStr">
        <is>
          <t>Electric</t>
        </is>
      </c>
      <c r="G196" s="2" t="n">
        <v>6</v>
      </c>
      <c r="H196" s="3" t="n">
        <v>2200</v>
      </c>
      <c r="I196" s="3">
        <f>G196*H196</f>
        <v/>
      </c>
      <c r="J196" s="3" t="n">
        <v>1320</v>
      </c>
      <c r="K196" s="3">
        <f>G196*J196</f>
        <v/>
      </c>
      <c r="L196" s="3">
        <f>I196-K196</f>
        <v/>
      </c>
    </row>
    <row r="197">
      <c r="A197" s="4" t="inlineStr">
        <is>
          <t>ORD-1196</t>
        </is>
      </c>
      <c r="B197" s="4" t="inlineStr">
        <is>
          <t>2024-11-10</t>
        </is>
      </c>
      <c r="C197" s="4" t="inlineStr">
        <is>
          <t>West</t>
        </is>
      </c>
      <c r="D197" s="4" t="inlineStr">
        <is>
          <t>David Brown</t>
        </is>
      </c>
      <c r="E197" s="4" t="inlineStr">
        <is>
          <t>Road Racer X</t>
        </is>
      </c>
      <c r="F197" s="4" t="inlineStr">
        <is>
          <t>Road</t>
        </is>
      </c>
      <c r="G197" s="4" t="n">
        <v>6</v>
      </c>
      <c r="H197" s="5" t="n">
        <v>1200</v>
      </c>
      <c r="I197" s="5">
        <f>G197*H197</f>
        <v/>
      </c>
      <c r="J197" s="5" t="n">
        <v>720</v>
      </c>
      <c r="K197" s="5">
        <f>G197*J197</f>
        <v/>
      </c>
      <c r="L197" s="5">
        <f>I197-K197</f>
        <v/>
      </c>
    </row>
    <row r="198">
      <c r="A198" s="2" t="inlineStr">
        <is>
          <t>ORD-1197</t>
        </is>
      </c>
      <c r="B198" s="2" t="inlineStr">
        <is>
          <t>2024-11-03</t>
        </is>
      </c>
      <c r="C198" s="2" t="inlineStr">
        <is>
          <t>North</t>
        </is>
      </c>
      <c r="D198" s="2" t="inlineStr">
        <is>
          <t>David Brown</t>
        </is>
      </c>
      <c r="E198" s="2" t="inlineStr">
        <is>
          <t>BMX Stunt</t>
        </is>
      </c>
      <c r="F198" s="2" t="inlineStr">
        <is>
          <t>BMX</t>
        </is>
      </c>
      <c r="G198" s="2" t="n">
        <v>7</v>
      </c>
      <c r="H198" s="3" t="n">
        <v>320</v>
      </c>
      <c r="I198" s="3">
        <f>G198*H198</f>
        <v/>
      </c>
      <c r="J198" s="3" t="n">
        <v>192</v>
      </c>
      <c r="K198" s="3">
        <f>G198*J198</f>
        <v/>
      </c>
      <c r="L198" s="3">
        <f>I198-K198</f>
        <v/>
      </c>
    </row>
    <row r="199">
      <c r="A199" s="4" t="inlineStr">
        <is>
          <t>ORD-1198</t>
        </is>
      </c>
      <c r="B199" s="4" t="inlineStr">
        <is>
          <t>2024-11-25</t>
        </is>
      </c>
      <c r="C199" s="4" t="inlineStr">
        <is>
          <t>East</t>
        </is>
      </c>
      <c r="D199" s="4" t="inlineStr">
        <is>
          <t>Alice Johnson</t>
        </is>
      </c>
      <c r="E199" s="4" t="inlineStr">
        <is>
          <t>City Cruiser</t>
        </is>
      </c>
      <c r="F199" s="4" t="inlineStr">
        <is>
          <t>City</t>
        </is>
      </c>
      <c r="G199" s="4" t="n">
        <v>5</v>
      </c>
      <c r="H199" s="5" t="n">
        <v>450</v>
      </c>
      <c r="I199" s="5">
        <f>G199*H199</f>
        <v/>
      </c>
      <c r="J199" s="5" t="n">
        <v>270</v>
      </c>
      <c r="K199" s="5">
        <f>G199*J199</f>
        <v/>
      </c>
      <c r="L199" s="5">
        <f>I199-K199</f>
        <v/>
      </c>
    </row>
    <row r="200">
      <c r="A200" s="2" t="inlineStr">
        <is>
          <t>ORD-1199</t>
        </is>
      </c>
      <c r="B200" s="2" t="inlineStr">
        <is>
          <t>2024-11-15</t>
        </is>
      </c>
      <c r="C200" s="2" t="inlineStr">
        <is>
          <t>North</t>
        </is>
      </c>
      <c r="D200" s="2" t="inlineStr">
        <is>
          <t>Eve Davis</t>
        </is>
      </c>
      <c r="E200" s="2" t="inlineStr">
        <is>
          <t>Electric eBike</t>
        </is>
      </c>
      <c r="F200" s="2" t="inlineStr">
        <is>
          <t>Electric</t>
        </is>
      </c>
      <c r="G200" s="2" t="n">
        <v>9</v>
      </c>
      <c r="H200" s="3" t="n">
        <v>2200</v>
      </c>
      <c r="I200" s="3">
        <f>G200*H200</f>
        <v/>
      </c>
      <c r="J200" s="3" t="n">
        <v>1320</v>
      </c>
      <c r="K200" s="3">
        <f>G200*J200</f>
        <v/>
      </c>
      <c r="L200" s="3">
        <f>I200-K200</f>
        <v/>
      </c>
    </row>
    <row r="201">
      <c r="A201" s="4" t="inlineStr">
        <is>
          <t>ORD-1200</t>
        </is>
      </c>
      <c r="B201" s="4" t="inlineStr">
        <is>
          <t>2024-11-12</t>
        </is>
      </c>
      <c r="C201" s="4" t="inlineStr">
        <is>
          <t>South</t>
        </is>
      </c>
      <c r="D201" s="4" t="inlineStr">
        <is>
          <t>Eve Davis</t>
        </is>
      </c>
      <c r="E201" s="4" t="inlineStr">
        <is>
          <t>Electric eBike</t>
        </is>
      </c>
      <c r="F201" s="4" t="inlineStr">
        <is>
          <t>Electric</t>
        </is>
      </c>
      <c r="G201" s="4" t="n">
        <v>1</v>
      </c>
      <c r="H201" s="5" t="n">
        <v>2200</v>
      </c>
      <c r="I201" s="5">
        <f>G201*H201</f>
        <v/>
      </c>
      <c r="J201" s="5" t="n">
        <v>1320</v>
      </c>
      <c r="K201" s="5">
        <f>G201*J201</f>
        <v/>
      </c>
      <c r="L201" s="5">
        <f>I201-K201</f>
        <v/>
      </c>
    </row>
    <row r="202">
      <c r="A202" s="2" t="inlineStr">
        <is>
          <t>ORD-1201</t>
        </is>
      </c>
      <c r="B202" s="2" t="inlineStr">
        <is>
          <t>2024-11-07</t>
        </is>
      </c>
      <c r="C202" s="2" t="inlineStr">
        <is>
          <t>West</t>
        </is>
      </c>
      <c r="D202" s="2" t="inlineStr">
        <is>
          <t>Alice Johnson</t>
        </is>
      </c>
      <c r="E202" s="2" t="inlineStr">
        <is>
          <t>Kids Rocket</t>
        </is>
      </c>
      <c r="F202" s="2" t="inlineStr">
        <is>
          <t>Kids</t>
        </is>
      </c>
      <c r="G202" s="2" t="n">
        <v>8</v>
      </c>
      <c r="H202" s="3" t="n">
        <v>180</v>
      </c>
      <c r="I202" s="3">
        <f>G202*H202</f>
        <v/>
      </c>
      <c r="J202" s="3" t="n">
        <v>108</v>
      </c>
      <c r="K202" s="3">
        <f>G202*J202</f>
        <v/>
      </c>
      <c r="L202" s="3">
        <f>I202-K202</f>
        <v/>
      </c>
    </row>
    <row r="203">
      <c r="A203" s="4" t="inlineStr">
        <is>
          <t>ORD-1202</t>
        </is>
      </c>
      <c r="B203" s="4" t="inlineStr">
        <is>
          <t>2024-11-15</t>
        </is>
      </c>
      <c r="C203" s="4" t="inlineStr">
        <is>
          <t>South</t>
        </is>
      </c>
      <c r="D203" s="4" t="inlineStr">
        <is>
          <t>Carol White</t>
        </is>
      </c>
      <c r="E203" s="4" t="inlineStr">
        <is>
          <t>City Cruiser</t>
        </is>
      </c>
      <c r="F203" s="4" t="inlineStr">
        <is>
          <t>City</t>
        </is>
      </c>
      <c r="G203" s="4" t="n">
        <v>9</v>
      </c>
      <c r="H203" s="5" t="n">
        <v>450</v>
      </c>
      <c r="I203" s="5">
        <f>G203*H203</f>
        <v/>
      </c>
      <c r="J203" s="5" t="n">
        <v>270</v>
      </c>
      <c r="K203" s="5">
        <f>G203*J203</f>
        <v/>
      </c>
      <c r="L203" s="5">
        <f>I203-K203</f>
        <v/>
      </c>
    </row>
    <row r="204">
      <c r="A204" s="2" t="inlineStr">
        <is>
          <t>ORD-1203</t>
        </is>
      </c>
      <c r="B204" s="2" t="inlineStr">
        <is>
          <t>2024-11-21</t>
        </is>
      </c>
      <c r="C204" s="2" t="inlineStr">
        <is>
          <t>North</t>
        </is>
      </c>
      <c r="D204" s="2" t="inlineStr">
        <is>
          <t>Alice Johnson</t>
        </is>
      </c>
      <c r="E204" s="2" t="inlineStr">
        <is>
          <t>BMX Stunt</t>
        </is>
      </c>
      <c r="F204" s="2" t="inlineStr">
        <is>
          <t>BMX</t>
        </is>
      </c>
      <c r="G204" s="2" t="n">
        <v>8</v>
      </c>
      <c r="H204" s="3" t="n">
        <v>320</v>
      </c>
      <c r="I204" s="3">
        <f>G204*H204</f>
        <v/>
      </c>
      <c r="J204" s="3" t="n">
        <v>192</v>
      </c>
      <c r="K204" s="3">
        <f>G204*J204</f>
        <v/>
      </c>
      <c r="L204" s="3">
        <f>I204-K204</f>
        <v/>
      </c>
    </row>
    <row r="205">
      <c r="A205" s="4" t="inlineStr">
        <is>
          <t>ORD-1204</t>
        </is>
      </c>
      <c r="B205" s="4" t="inlineStr">
        <is>
          <t>2024-11-18</t>
        </is>
      </c>
      <c r="C205" s="4" t="inlineStr">
        <is>
          <t>South</t>
        </is>
      </c>
      <c r="D205" s="4" t="inlineStr">
        <is>
          <t>Carol White</t>
        </is>
      </c>
      <c r="E205" s="4" t="inlineStr">
        <is>
          <t>Kids Rocket</t>
        </is>
      </c>
      <c r="F205" s="4" t="inlineStr">
        <is>
          <t>Kids</t>
        </is>
      </c>
      <c r="G205" s="4" t="n">
        <v>4</v>
      </c>
      <c r="H205" s="5" t="n">
        <v>180</v>
      </c>
      <c r="I205" s="5">
        <f>G205*H205</f>
        <v/>
      </c>
      <c r="J205" s="5" t="n">
        <v>108</v>
      </c>
      <c r="K205" s="5">
        <f>G205*J205</f>
        <v/>
      </c>
      <c r="L205" s="5">
        <f>I205-K205</f>
        <v/>
      </c>
    </row>
    <row r="206">
      <c r="A206" s="2" t="inlineStr">
        <is>
          <t>ORD-1205</t>
        </is>
      </c>
      <c r="B206" s="2" t="inlineStr">
        <is>
          <t>2024-11-08</t>
        </is>
      </c>
      <c r="C206" s="2" t="inlineStr">
        <is>
          <t>West</t>
        </is>
      </c>
      <c r="D206" s="2" t="inlineStr">
        <is>
          <t>Alice Johnson</t>
        </is>
      </c>
      <c r="E206" s="2" t="inlineStr">
        <is>
          <t>Mountain Bike Pro</t>
        </is>
      </c>
      <c r="F206" s="2" t="inlineStr">
        <is>
          <t>Mountain</t>
        </is>
      </c>
      <c r="G206" s="2" t="n">
        <v>9</v>
      </c>
      <c r="H206" s="3" t="n">
        <v>850</v>
      </c>
      <c r="I206" s="3">
        <f>G206*H206</f>
        <v/>
      </c>
      <c r="J206" s="3" t="n">
        <v>510</v>
      </c>
      <c r="K206" s="3">
        <f>G206*J206</f>
        <v/>
      </c>
      <c r="L206" s="3">
        <f>I206-K206</f>
        <v/>
      </c>
    </row>
    <row r="207">
      <c r="A207" s="4" t="inlineStr">
        <is>
          <t>ORD-1206</t>
        </is>
      </c>
      <c r="B207" s="4" t="inlineStr">
        <is>
          <t>2024-12-23</t>
        </is>
      </c>
      <c r="C207" s="4" t="inlineStr">
        <is>
          <t>South</t>
        </is>
      </c>
      <c r="D207" s="4" t="inlineStr">
        <is>
          <t>David Brown</t>
        </is>
      </c>
      <c r="E207" s="4" t="inlineStr">
        <is>
          <t>Electric eBike</t>
        </is>
      </c>
      <c r="F207" s="4" t="inlineStr">
        <is>
          <t>Electric</t>
        </is>
      </c>
      <c r="G207" s="4" t="n">
        <v>2</v>
      </c>
      <c r="H207" s="5" t="n">
        <v>2200</v>
      </c>
      <c r="I207" s="5">
        <f>G207*H207</f>
        <v/>
      </c>
      <c r="J207" s="5" t="n">
        <v>1320</v>
      </c>
      <c r="K207" s="5">
        <f>G207*J207</f>
        <v/>
      </c>
      <c r="L207" s="5">
        <f>I207-K207</f>
        <v/>
      </c>
    </row>
    <row r="208">
      <c r="A208" s="2" t="inlineStr">
        <is>
          <t>ORD-1207</t>
        </is>
      </c>
      <c r="B208" s="2" t="inlineStr">
        <is>
          <t>2024-12-27</t>
        </is>
      </c>
      <c r="C208" s="2" t="inlineStr">
        <is>
          <t>East</t>
        </is>
      </c>
      <c r="D208" s="2" t="inlineStr">
        <is>
          <t>David Brown</t>
        </is>
      </c>
      <c r="E208" s="2" t="inlineStr">
        <is>
          <t>City Cruiser</t>
        </is>
      </c>
      <c r="F208" s="2" t="inlineStr">
        <is>
          <t>City</t>
        </is>
      </c>
      <c r="G208" s="2" t="n">
        <v>9</v>
      </c>
      <c r="H208" s="3" t="n">
        <v>450</v>
      </c>
      <c r="I208" s="3">
        <f>G208*H208</f>
        <v/>
      </c>
      <c r="J208" s="3" t="n">
        <v>270</v>
      </c>
      <c r="K208" s="3">
        <f>G208*J208</f>
        <v/>
      </c>
      <c r="L208" s="3">
        <f>I208-K208</f>
        <v/>
      </c>
    </row>
    <row r="209">
      <c r="A209" s="4" t="inlineStr">
        <is>
          <t>ORD-1208</t>
        </is>
      </c>
      <c r="B209" s="4" t="inlineStr">
        <is>
          <t>2024-12-18</t>
        </is>
      </c>
      <c r="C209" s="4" t="inlineStr">
        <is>
          <t>South</t>
        </is>
      </c>
      <c r="D209" s="4" t="inlineStr">
        <is>
          <t>David Brown</t>
        </is>
      </c>
      <c r="E209" s="4" t="inlineStr">
        <is>
          <t>Electric eBike</t>
        </is>
      </c>
      <c r="F209" s="4" t="inlineStr">
        <is>
          <t>Electric</t>
        </is>
      </c>
      <c r="G209" s="4" t="n">
        <v>8</v>
      </c>
      <c r="H209" s="5" t="n">
        <v>2200</v>
      </c>
      <c r="I209" s="5">
        <f>G209*H209</f>
        <v/>
      </c>
      <c r="J209" s="5" t="n">
        <v>1320</v>
      </c>
      <c r="K209" s="5">
        <f>G209*J209</f>
        <v/>
      </c>
      <c r="L209" s="5">
        <f>I209-K209</f>
        <v/>
      </c>
    </row>
    <row r="210">
      <c r="A210" s="2" t="inlineStr">
        <is>
          <t>ORD-1209</t>
        </is>
      </c>
      <c r="B210" s="2" t="inlineStr">
        <is>
          <t>2024-12-17</t>
        </is>
      </c>
      <c r="C210" s="2" t="inlineStr">
        <is>
          <t>South</t>
        </is>
      </c>
      <c r="D210" s="2" t="inlineStr">
        <is>
          <t>Eve Davis</t>
        </is>
      </c>
      <c r="E210" s="2" t="inlineStr">
        <is>
          <t>Road Racer X</t>
        </is>
      </c>
      <c r="F210" s="2" t="inlineStr">
        <is>
          <t>Road</t>
        </is>
      </c>
      <c r="G210" s="2" t="n">
        <v>7</v>
      </c>
      <c r="H210" s="3" t="n">
        <v>1200</v>
      </c>
      <c r="I210" s="3">
        <f>G210*H210</f>
        <v/>
      </c>
      <c r="J210" s="3" t="n">
        <v>720</v>
      </c>
      <c r="K210" s="3">
        <f>G210*J210</f>
        <v/>
      </c>
      <c r="L210" s="3">
        <f>I210-K210</f>
        <v/>
      </c>
    </row>
    <row r="211">
      <c r="A211" s="4" t="inlineStr">
        <is>
          <t>ORD-1210</t>
        </is>
      </c>
      <c r="B211" s="4" t="inlineStr">
        <is>
          <t>2024-12-25</t>
        </is>
      </c>
      <c r="C211" s="4" t="inlineStr">
        <is>
          <t>North</t>
        </is>
      </c>
      <c r="D211" s="4" t="inlineStr">
        <is>
          <t>Carol White</t>
        </is>
      </c>
      <c r="E211" s="4" t="inlineStr">
        <is>
          <t>BMX Stunt</t>
        </is>
      </c>
      <c r="F211" s="4" t="inlineStr">
        <is>
          <t>BMX</t>
        </is>
      </c>
      <c r="G211" s="4" t="n">
        <v>3</v>
      </c>
      <c r="H211" s="5" t="n">
        <v>320</v>
      </c>
      <c r="I211" s="5">
        <f>G211*H211</f>
        <v/>
      </c>
      <c r="J211" s="5" t="n">
        <v>192</v>
      </c>
      <c r="K211" s="5">
        <f>G211*J211</f>
        <v/>
      </c>
      <c r="L211" s="5">
        <f>I211-K211</f>
        <v/>
      </c>
    </row>
    <row r="212">
      <c r="A212" s="2" t="inlineStr">
        <is>
          <t>ORD-1211</t>
        </is>
      </c>
      <c r="B212" s="2" t="inlineStr">
        <is>
          <t>2024-12-09</t>
        </is>
      </c>
      <c r="C212" s="2" t="inlineStr">
        <is>
          <t>East</t>
        </is>
      </c>
      <c r="D212" s="2" t="inlineStr">
        <is>
          <t>Eve Davis</t>
        </is>
      </c>
      <c r="E212" s="2" t="inlineStr">
        <is>
          <t>Hybrid Commuter</t>
        </is>
      </c>
      <c r="F212" s="2" t="inlineStr">
        <is>
          <t>City</t>
        </is>
      </c>
      <c r="G212" s="2" t="n">
        <v>7</v>
      </c>
      <c r="H212" s="3" t="n">
        <v>650</v>
      </c>
      <c r="I212" s="3">
        <f>G212*H212</f>
        <v/>
      </c>
      <c r="J212" s="3" t="n">
        <v>390</v>
      </c>
      <c r="K212" s="3">
        <f>G212*J212</f>
        <v/>
      </c>
      <c r="L212" s="3">
        <f>I212-K212</f>
        <v/>
      </c>
    </row>
    <row r="213">
      <c r="A213" s="4" t="inlineStr">
        <is>
          <t>ORD-1212</t>
        </is>
      </c>
      <c r="B213" s="4" t="inlineStr">
        <is>
          <t>2024-12-27</t>
        </is>
      </c>
      <c r="C213" s="4" t="inlineStr">
        <is>
          <t>East</t>
        </is>
      </c>
      <c r="D213" s="4" t="inlineStr">
        <is>
          <t>Carol White</t>
        </is>
      </c>
      <c r="E213" s="4" t="inlineStr">
        <is>
          <t>Hybrid Commuter</t>
        </is>
      </c>
      <c r="F213" s="4" t="inlineStr">
        <is>
          <t>City</t>
        </is>
      </c>
      <c r="G213" s="4" t="n">
        <v>1</v>
      </c>
      <c r="H213" s="5" t="n">
        <v>650</v>
      </c>
      <c r="I213" s="5">
        <f>G213*H213</f>
        <v/>
      </c>
      <c r="J213" s="5" t="n">
        <v>390</v>
      </c>
      <c r="K213" s="5">
        <f>G213*J213</f>
        <v/>
      </c>
      <c r="L213" s="5">
        <f>I213-K213</f>
        <v/>
      </c>
    </row>
    <row r="214">
      <c r="A214" s="2" t="inlineStr">
        <is>
          <t>ORD-1213</t>
        </is>
      </c>
      <c r="B214" s="2" t="inlineStr">
        <is>
          <t>2024-12-15</t>
        </is>
      </c>
      <c r="C214" s="2" t="inlineStr">
        <is>
          <t>West</t>
        </is>
      </c>
      <c r="D214" s="2" t="inlineStr">
        <is>
          <t>Bob Smith</t>
        </is>
      </c>
      <c r="E214" s="2" t="inlineStr">
        <is>
          <t>Kids Rocket</t>
        </is>
      </c>
      <c r="F214" s="2" t="inlineStr">
        <is>
          <t>Kids</t>
        </is>
      </c>
      <c r="G214" s="2" t="n">
        <v>10</v>
      </c>
      <c r="H214" s="3" t="n">
        <v>180</v>
      </c>
      <c r="I214" s="3">
        <f>G214*H214</f>
        <v/>
      </c>
      <c r="J214" s="3" t="n">
        <v>108</v>
      </c>
      <c r="K214" s="3">
        <f>G214*J214</f>
        <v/>
      </c>
      <c r="L214" s="3">
        <f>I214-K214</f>
        <v/>
      </c>
    </row>
    <row r="215">
      <c r="A215" s="4" t="inlineStr">
        <is>
          <t>ORD-1214</t>
        </is>
      </c>
      <c r="B215" s="4" t="inlineStr">
        <is>
          <t>2024-12-18</t>
        </is>
      </c>
      <c r="C215" s="4" t="inlineStr">
        <is>
          <t>East</t>
        </is>
      </c>
      <c r="D215" s="4" t="inlineStr">
        <is>
          <t>Carol White</t>
        </is>
      </c>
      <c r="E215" s="4" t="inlineStr">
        <is>
          <t>Kids Rocket</t>
        </is>
      </c>
      <c r="F215" s="4" t="inlineStr">
        <is>
          <t>Kids</t>
        </is>
      </c>
      <c r="G215" s="4" t="n">
        <v>8</v>
      </c>
      <c r="H215" s="5" t="n">
        <v>180</v>
      </c>
      <c r="I215" s="5">
        <f>G215*H215</f>
        <v/>
      </c>
      <c r="J215" s="5" t="n">
        <v>108</v>
      </c>
      <c r="K215" s="5">
        <f>G215*J215</f>
        <v/>
      </c>
      <c r="L215" s="5">
        <f>I215-K215</f>
        <v/>
      </c>
    </row>
    <row r="216">
      <c r="A216" s="2" t="inlineStr">
        <is>
          <t>ORD-1215</t>
        </is>
      </c>
      <c r="B216" s="2" t="inlineStr">
        <is>
          <t>2024-12-11</t>
        </is>
      </c>
      <c r="C216" s="2" t="inlineStr">
        <is>
          <t>West</t>
        </is>
      </c>
      <c r="D216" s="2" t="inlineStr">
        <is>
          <t>David Brown</t>
        </is>
      </c>
      <c r="E216" s="2" t="inlineStr">
        <is>
          <t>Hybrid Commuter</t>
        </is>
      </c>
      <c r="F216" s="2" t="inlineStr">
        <is>
          <t>City</t>
        </is>
      </c>
      <c r="G216" s="2" t="n">
        <v>9</v>
      </c>
      <c r="H216" s="3" t="n">
        <v>650</v>
      </c>
      <c r="I216" s="3">
        <f>G216*H216</f>
        <v/>
      </c>
      <c r="J216" s="3" t="n">
        <v>390</v>
      </c>
      <c r="K216" s="3">
        <f>G216*J216</f>
        <v/>
      </c>
      <c r="L216" s="3">
        <f>I216-K216</f>
        <v/>
      </c>
    </row>
    <row r="217">
      <c r="A217" s="4" t="inlineStr">
        <is>
          <t>ORD-1216</t>
        </is>
      </c>
      <c r="B217" s="4" t="inlineStr">
        <is>
          <t>2024-12-13</t>
        </is>
      </c>
      <c r="C217" s="4" t="inlineStr">
        <is>
          <t>South</t>
        </is>
      </c>
      <c r="D217" s="4" t="inlineStr">
        <is>
          <t>Eve Davis</t>
        </is>
      </c>
      <c r="E217" s="4" t="inlineStr">
        <is>
          <t>Hybrid Commuter</t>
        </is>
      </c>
      <c r="F217" s="4" t="inlineStr">
        <is>
          <t>City</t>
        </is>
      </c>
      <c r="G217" s="4" t="n">
        <v>4</v>
      </c>
      <c r="H217" s="5" t="n">
        <v>650</v>
      </c>
      <c r="I217" s="5">
        <f>G217*H217</f>
        <v/>
      </c>
      <c r="J217" s="5" t="n">
        <v>390</v>
      </c>
      <c r="K217" s="5">
        <f>G217*J217</f>
        <v/>
      </c>
      <c r="L217" s="5">
        <f>I217-K217</f>
        <v/>
      </c>
    </row>
    <row r="218">
      <c r="A218" s="2" t="inlineStr">
        <is>
          <t>ORD-1217</t>
        </is>
      </c>
      <c r="B218" s="2" t="inlineStr">
        <is>
          <t>2024-12-24</t>
        </is>
      </c>
      <c r="C218" s="2" t="inlineStr">
        <is>
          <t>North</t>
        </is>
      </c>
      <c r="D218" s="2" t="inlineStr">
        <is>
          <t>Carol White</t>
        </is>
      </c>
      <c r="E218" s="2" t="inlineStr">
        <is>
          <t>Road Racer X</t>
        </is>
      </c>
      <c r="F218" s="2" t="inlineStr">
        <is>
          <t>Road</t>
        </is>
      </c>
      <c r="G218" s="2" t="n">
        <v>7</v>
      </c>
      <c r="H218" s="3" t="n">
        <v>1200</v>
      </c>
      <c r="I218" s="3">
        <f>G218*H218</f>
        <v/>
      </c>
      <c r="J218" s="3" t="n">
        <v>720</v>
      </c>
      <c r="K218" s="3">
        <f>G218*J218</f>
        <v/>
      </c>
      <c r="L218" s="3">
        <f>I218-K218</f>
        <v/>
      </c>
    </row>
    <row r="219">
      <c r="A219" s="4" t="inlineStr">
        <is>
          <t>ORD-1218</t>
        </is>
      </c>
      <c r="B219" s="4" t="inlineStr">
        <is>
          <t>2024-12-16</t>
        </is>
      </c>
      <c r="C219" s="4" t="inlineStr">
        <is>
          <t>West</t>
        </is>
      </c>
      <c r="D219" s="4" t="inlineStr">
        <is>
          <t>Bob Smith</t>
        </is>
      </c>
      <c r="E219" s="4" t="inlineStr">
        <is>
          <t>Electric eBike</t>
        </is>
      </c>
      <c r="F219" s="4" t="inlineStr">
        <is>
          <t>Electric</t>
        </is>
      </c>
      <c r="G219" s="4" t="n">
        <v>7</v>
      </c>
      <c r="H219" s="5" t="n">
        <v>2200</v>
      </c>
      <c r="I219" s="5">
        <f>G219*H219</f>
        <v/>
      </c>
      <c r="J219" s="5" t="n">
        <v>1320</v>
      </c>
      <c r="K219" s="5">
        <f>G219*J219</f>
        <v/>
      </c>
      <c r="L219" s="5">
        <f>I219-K219</f>
        <v/>
      </c>
    </row>
    <row r="220">
      <c r="A220" s="2" t="inlineStr">
        <is>
          <t>ORD-1219</t>
        </is>
      </c>
      <c r="B220" s="2" t="inlineStr">
        <is>
          <t>2024-12-28</t>
        </is>
      </c>
      <c r="C220" s="2" t="inlineStr">
        <is>
          <t>East</t>
        </is>
      </c>
      <c r="D220" s="2" t="inlineStr">
        <is>
          <t>Alice Johnson</t>
        </is>
      </c>
      <c r="E220" s="2" t="inlineStr">
        <is>
          <t>Mountain Bike Pro</t>
        </is>
      </c>
      <c r="F220" s="2" t="inlineStr">
        <is>
          <t>Mountain</t>
        </is>
      </c>
      <c r="G220" s="2" t="n">
        <v>3</v>
      </c>
      <c r="H220" s="3" t="n">
        <v>850</v>
      </c>
      <c r="I220" s="3">
        <f>G220*H220</f>
        <v/>
      </c>
      <c r="J220" s="3" t="n">
        <v>510</v>
      </c>
      <c r="K220" s="3">
        <f>G220*J220</f>
        <v/>
      </c>
      <c r="L220" s="3">
        <f>I220-K220</f>
        <v/>
      </c>
    </row>
    <row r="221">
      <c r="A221" s="4" t="inlineStr">
        <is>
          <t>ORD-1220</t>
        </is>
      </c>
      <c r="B221" s="4" t="inlineStr">
        <is>
          <t>2024-12-15</t>
        </is>
      </c>
      <c r="C221" s="4" t="inlineStr">
        <is>
          <t>North</t>
        </is>
      </c>
      <c r="D221" s="4" t="inlineStr">
        <is>
          <t>Eve Davis</t>
        </is>
      </c>
      <c r="E221" s="4" t="inlineStr">
        <is>
          <t>Hybrid Commuter</t>
        </is>
      </c>
      <c r="F221" s="4" t="inlineStr">
        <is>
          <t>City</t>
        </is>
      </c>
      <c r="G221" s="4" t="n">
        <v>8</v>
      </c>
      <c r="H221" s="5" t="n">
        <v>650</v>
      </c>
      <c r="I221" s="5">
        <f>G221*H221</f>
        <v/>
      </c>
      <c r="J221" s="5" t="n">
        <v>390</v>
      </c>
      <c r="K221" s="5">
        <f>G221*J221</f>
        <v/>
      </c>
      <c r="L221" s="5">
        <f>I221-K221</f>
        <v/>
      </c>
    </row>
    <row r="222">
      <c r="A222" s="2" t="inlineStr">
        <is>
          <t>ORD-1221</t>
        </is>
      </c>
      <c r="B222" s="2" t="inlineStr">
        <is>
          <t>2024-12-03</t>
        </is>
      </c>
      <c r="C222" s="2" t="inlineStr">
        <is>
          <t>West</t>
        </is>
      </c>
      <c r="D222" s="2" t="inlineStr">
        <is>
          <t>Bob Smith</t>
        </is>
      </c>
      <c r="E222" s="2" t="inlineStr">
        <is>
          <t>Mountain Bike Pro</t>
        </is>
      </c>
      <c r="F222" s="2" t="inlineStr">
        <is>
          <t>Mountain</t>
        </is>
      </c>
      <c r="G222" s="2" t="n">
        <v>3</v>
      </c>
      <c r="H222" s="3" t="n">
        <v>850</v>
      </c>
      <c r="I222" s="3">
        <f>G222*H222</f>
        <v/>
      </c>
      <c r="J222" s="3" t="n">
        <v>510</v>
      </c>
      <c r="K222" s="3">
        <f>G222*J222</f>
        <v/>
      </c>
      <c r="L222" s="3">
        <f>I222-K222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Bike Sales Summary Dashboard</t>
        </is>
      </c>
    </row>
    <row r="3">
      <c r="A3" s="7" t="inlineStr">
        <is>
          <t>KEY METRICS</t>
        </is>
      </c>
      <c r="D3" s="7" t="inlineStr">
        <is>
          <t>REVENUE BY CATEGORY</t>
        </is>
      </c>
    </row>
    <row r="4">
      <c r="A4" s="8" t="inlineStr">
        <is>
          <t>Total Revenue</t>
        </is>
      </c>
      <c r="B4" s="9">
        <f>SUM('Sales Data'!I2:I222)</f>
        <v/>
      </c>
      <c r="D4" s="10" t="inlineStr">
        <is>
          <t>Category</t>
        </is>
      </c>
      <c r="E4" s="10" t="inlineStr">
        <is>
          <t>Revenue</t>
        </is>
      </c>
    </row>
    <row r="5">
      <c r="A5" s="8" t="inlineStr">
        <is>
          <t>Total Cost</t>
        </is>
      </c>
      <c r="B5" s="9">
        <f>SUM('Sales Data'!K2:K222)</f>
        <v/>
      </c>
      <c r="D5" s="11" t="inlineStr">
        <is>
          <t>Mountain</t>
        </is>
      </c>
      <c r="E5" s="9">
        <f>SUMIF('Sales Data'!F2:F222,D5,'Sales Data'!I2:I222)</f>
        <v/>
      </c>
    </row>
    <row r="6">
      <c r="A6" s="8" t="inlineStr">
        <is>
          <t>Total Profit</t>
        </is>
      </c>
      <c r="B6" s="9">
        <f>SUM('Sales Data'!L2:L222)</f>
        <v/>
      </c>
      <c r="D6" s="11" t="inlineStr">
        <is>
          <t>Road</t>
        </is>
      </c>
      <c r="E6" s="9">
        <f>SUMIF('Sales Data'!F2:F222,D6,'Sales Data'!I2:I222)</f>
        <v/>
      </c>
    </row>
    <row r="7">
      <c r="A7" s="8" t="inlineStr">
        <is>
          <t>Units Sold</t>
        </is>
      </c>
      <c r="B7" s="12">
        <f>SUM('Sales Data'!G2:G222)</f>
        <v/>
      </c>
      <c r="D7" s="11" t="inlineStr">
        <is>
          <t>City</t>
        </is>
      </c>
      <c r="E7" s="9">
        <f>SUMIF('Sales Data'!F2:F222,D7,'Sales Data'!I2:I222)</f>
        <v/>
      </c>
    </row>
    <row r="8">
      <c r="A8" s="8" t="inlineStr">
        <is>
          <t>Profit Margin %</t>
        </is>
      </c>
      <c r="B8" s="13">
        <f>SUM('Sales Data'!L2:L222)/SUM('Sales Data'!I2:I222)</f>
        <v/>
      </c>
      <c r="D8" s="11" t="inlineStr">
        <is>
          <t>Electric</t>
        </is>
      </c>
      <c r="E8" s="9">
        <f>SUMIF('Sales Data'!F2:F222,D8,'Sales Data'!I2:I222)</f>
        <v/>
      </c>
    </row>
    <row r="9">
      <c r="D9" s="11" t="inlineStr">
        <is>
          <t>Kids</t>
        </is>
      </c>
      <c r="E9" s="9">
        <f>SUMIF('Sales Data'!F2:F222,D9,'Sales Data'!I2:I222)</f>
        <v/>
      </c>
    </row>
    <row r="10">
      <c r="D10" s="11" t="inlineStr">
        <is>
          <t>BMX</t>
        </is>
      </c>
      <c r="E10" s="9">
        <f>SUMIF('Sales Data'!F2:F222,D10,'Sales Data'!I2:I222)</f>
        <v/>
      </c>
    </row>
    <row r="12">
      <c r="A12" s="7" t="inlineStr">
        <is>
          <t>REVENUE BY REGION</t>
        </is>
      </c>
      <c r="D12" s="7" t="inlineStr">
        <is>
          <t>REVENUE BY SALESPERSON</t>
        </is>
      </c>
    </row>
    <row r="13">
      <c r="A13" s="10" t="inlineStr">
        <is>
          <t>Region</t>
        </is>
      </c>
      <c r="B13" s="10" t="inlineStr">
        <is>
          <t>Revenue</t>
        </is>
      </c>
      <c r="D13" s="10" t="inlineStr">
        <is>
          <t>Salesperson</t>
        </is>
      </c>
      <c r="E13" s="10" t="inlineStr">
        <is>
          <t>Revenue</t>
        </is>
      </c>
    </row>
    <row r="14">
      <c r="A14" s="11" t="inlineStr">
        <is>
          <t>North</t>
        </is>
      </c>
      <c r="B14" s="9">
        <f>SUMIF('Sales Data'!C2:C222,A14,'Sales Data'!I2:I222)</f>
        <v/>
      </c>
      <c r="D14" s="11" t="inlineStr">
        <is>
          <t>Alice Johnson</t>
        </is>
      </c>
      <c r="E14" s="9">
        <f>SUMIF('Sales Data'!D2:D222,D14,'Sales Data'!I2:I222)</f>
        <v/>
      </c>
    </row>
    <row r="15">
      <c r="A15" s="11" t="inlineStr">
        <is>
          <t>South</t>
        </is>
      </c>
      <c r="B15" s="9">
        <f>SUMIF('Sales Data'!C2:C222,A15,'Sales Data'!I2:I222)</f>
        <v/>
      </c>
      <c r="D15" s="11" t="inlineStr">
        <is>
          <t>Bob Smith</t>
        </is>
      </c>
      <c r="E15" s="9">
        <f>SUMIF('Sales Data'!D2:D222,D15,'Sales Data'!I2:I222)</f>
        <v/>
      </c>
    </row>
    <row r="16">
      <c r="A16" s="11" t="inlineStr">
        <is>
          <t>East</t>
        </is>
      </c>
      <c r="B16" s="9">
        <f>SUMIF('Sales Data'!C2:C222,A16,'Sales Data'!I2:I222)</f>
        <v/>
      </c>
      <c r="D16" s="11" t="inlineStr">
        <is>
          <t>Carol White</t>
        </is>
      </c>
      <c r="E16" s="9">
        <f>SUMIF('Sales Data'!D2:D222,D16,'Sales Data'!I2:I222)</f>
        <v/>
      </c>
    </row>
    <row r="17">
      <c r="A17" s="11" t="inlineStr">
        <is>
          <t>West</t>
        </is>
      </c>
      <c r="B17" s="9">
        <f>SUMIF('Sales Data'!C2:C222,A17,'Sales Data'!I2:I222)</f>
        <v/>
      </c>
      <c r="D17" s="11" t="inlineStr">
        <is>
          <t>David Brown</t>
        </is>
      </c>
      <c r="E17" s="9">
        <f>SUMIF('Sales Data'!D2:D222,D17,'Sales Data'!I2:I222)</f>
        <v/>
      </c>
    </row>
    <row r="18">
      <c r="D18" s="11" t="inlineStr">
        <is>
          <t>Eve Davis</t>
        </is>
      </c>
      <c r="E18" s="9">
        <f>SUMIF('Sales Data'!D2:D222,D18,'Sales Data'!I2:I222)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2026-05-30T17:26:09Z</dcterms:created>
  <dcterms:modified xmlns:dcterms="http://purl.org/dc/terms/" xmlns:xsi="http://www.w3.org/2001/XMLSchema-instance" xsi:type="dcterms:W3CDTF">2026-05-30T17:26:09Z</dcterms:modified>
</cp:coreProperties>
</file>